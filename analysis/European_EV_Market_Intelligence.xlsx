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0e86cc51e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b823b9abb214e56"/>
    <x:sheet xmlns:r="http://schemas.openxmlformats.org/officeDocument/2006/relationships" name="Market_History" sheetId="2" r:id="R218825ac45bf4786"/>
    <x:sheet xmlns:r="http://schemas.openxmlformats.org/officeDocument/2006/relationships" name="Country_Scoring" sheetId="3" r:id="R7d0e84cd0a3644ed"/>
    <x:sheet xmlns:r="http://schemas.openxmlformats.org/officeDocument/2006/relationships" name="Competitors" sheetId="4" r:id="Rc7253315ca514584"/>
    <x:sheet xmlns:r="http://schemas.openxmlformats.org/officeDocument/2006/relationships" name="Customer_Segments" sheetId="5" r:id="R4a61824dafda47ff"/>
    <x:sheet xmlns:r="http://schemas.openxmlformats.org/officeDocument/2006/relationships" name="Revenue_Scenarios" sheetId="6" r:id="R27435fd47dac424c"/>
    <x:sheet xmlns:r="http://schemas.openxmlformats.org/officeDocument/2006/relationships" name="Strategy_Roadmap" sheetId="7" r:id="Ra97f1fcca7f9408e"/>
    <x:sheet xmlns:r="http://schemas.openxmlformats.org/officeDocument/2006/relationships" name="Executive_Dashboard" sheetId="8" r:id="Rc8ca6ed7597c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#,##0.0"/>
    <x:numFmt numFmtId="202" formatCode="#,##0.00"/>
    <x:numFmt numFmtId="203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17365D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f85f55c9047b0" /><Relationship Type="http://schemas.openxmlformats.org/officeDocument/2006/relationships/theme" Target="/xl/theme/theme1.xml" Id="Rb2eb193493204446" /><Relationship Type="http://schemas.openxmlformats.org/officeDocument/2006/relationships/sharedStrings" Target="/xl/sharedStrings.xml" Id="R89045c4247134d9f" /><Relationship Type="http://schemas.openxmlformats.org/officeDocument/2006/relationships/worksheet" Target="/xl/worksheets/sheet1.xml" Id="R4b823b9abb214e56" /><Relationship Type="http://schemas.openxmlformats.org/officeDocument/2006/relationships/worksheet" Target="/xl/worksheets/sheet2.xml" Id="R218825ac45bf4786" /><Relationship Type="http://schemas.openxmlformats.org/officeDocument/2006/relationships/worksheet" Target="/xl/worksheets/sheet3.xml" Id="R7d0e84cd0a3644ed" /><Relationship Type="http://schemas.openxmlformats.org/officeDocument/2006/relationships/worksheet" Target="/xl/worksheets/sheet4.xml" Id="Rc7253315ca514584" /><Relationship Type="http://schemas.openxmlformats.org/officeDocument/2006/relationships/worksheet" Target="/xl/worksheets/sheet5.xml" Id="R4a61824dafda47ff" /><Relationship Type="http://schemas.openxmlformats.org/officeDocument/2006/relationships/worksheet" Target="/xl/worksheets/sheet6.xml" Id="R27435fd47dac424c" /><Relationship Type="http://schemas.openxmlformats.org/officeDocument/2006/relationships/worksheet" Target="/xl/worksheets/sheet7.xml" Id="Ra97f1fcca7f9408e" /><Relationship Type="http://schemas.openxmlformats.org/officeDocument/2006/relationships/worksheet" Target="/xl/worksheets/sheet8.xml" Id="Rc8ca6ed7597c41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795567cc684d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Country Attractiveness Ranking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Attractiveness Score</c:v>
          </c:tx>
          <c:cat>
            <c:strRef>
              <c:f>'Executive_Dashboard'!$A$15:$A$22</c:f>
              <c:strCache>
                <c:ptCount val="0"/>
              </c:strCache>
            </c:strRef>
          </c:cat>
          <c:val>
            <c:numRef>
              <c:f>'Executive_Dashboard'!$B$15:$B$22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795567cc684d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HistoryTable" displayName="MarketHistoryTable" ref="A1:K49" headerRowCount="1" totalsRowCount="0" totalsRowShown="0">
  <x:tableColumns count="11">
    <x:tableColumn id="1" name="Year"/>
    <x:tableColumn id="2" name="Country"/>
    <x:tableColumn id="3" name="EV_Registrations"/>
    <x:tableColumn id="4" name="Total_Car_Registrations"/>
    <x:tableColumn id="5" name="EV_Share_Percent"/>
    <x:tableColumn id="6" name="Public_Charging_Points"/>
    <x:tableColumn id="7" name="Charging_Points_per_1000_EV"/>
    <x:tableColumn id="8" name="Estimated_Addressable_Market_EUR_mn"/>
    <x:tableColumn id="9" name="Commercial_Ease_1_5"/>
    <x:tableColumn id="10" name="Competition_Intensity_1_5"/>
    <x:tableColumn id="11" name="Price_Index_vs_E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ScoringTable" displayName="CountryScoringTable" ref="A1:Q9" headerRowCount="1" totalsRowCount="0" totalsRowShown="0">
  <x:tableColumns count="17">
    <x:tableColumn id="1" name="Country"/>
    <x:tableColumn id="2" name="EV_Registrations_2026"/>
    <x:tableColumn id="3" name="EV_Share_2026_Percent"/>
    <x:tableColumn id="4" name="Public_Chargers_2026"/>
    <x:tableColumn id="5" name="Charging_Density_per_1000_EV"/>
    <x:tableColumn id="6" name="Addressable_Market_2026_EUR_mn"/>
    <x:tableColumn id="7" name="Market_CAGR_2021_2026_Percent"/>
    <x:tableColumn id="8" name="Commercial_Ease_1_5"/>
    <x:tableColumn id="9" name="Competition_Intensity_1_5"/>
    <x:tableColumn id="10" name="Market_Size_Score"/>
    <x:tableColumn id="11" name="Growth_Score"/>
    <x:tableColumn id="12" name="Adoption_Score"/>
    <x:tableColumn id="13" name="Infrastructure_Score"/>
    <x:tableColumn id="14" name="Commercial_Ease_Score"/>
    <x:tableColumn id="15" name="Competition_Advantage_Score"/>
    <x:tableColumn id="16" name="Attractiveness_Score"/>
    <x:tableColumn id="17" name="Priority_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sTable" displayName="CompetitorsTable" ref="A1:I9" headerRowCount="1" totalsRowCount="0" totalsRowShown="0">
  <x:tableColumns count="9">
    <x:tableColumn id="1" name="Competitor"/>
    <x:tableColumn id="2" name="HQ_Country"/>
    <x:tableColumn id="3" name="Primary_Positioning"/>
    <x:tableColumn id="4" name="Product_Breadth_1_5"/>
    <x:tableColumn id="5" name="Technical_Differentiation_1_5"/>
    <x:tableColumn id="6" name="Customer_Coverage_1_5"/>
    <x:tableColumn id="7" name="Price_Index_vs_Market"/>
    <x:tableColumn id="8" name="Estimated_Regional_Share_Percent"/>
    <x:tableColumn id="9" name="Strategic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SegmentsTable" displayName="CustomerSegmentsTable" ref="A1:I6" headerRowCount="1" totalsRowCount="0" totalsRowShown="0">
  <x:tableColumns count="9">
    <x:tableColumn id="1" name="Customer_Segment"/>
    <x:tableColumn id="2" name="Estimated_2026_Opportunity_EUR_mn"/>
    <x:tableColumn id="3" name="Growth_Outlook_1_5"/>
    <x:tableColumn id="4" name="Sales_Cycle_Ease_1_5"/>
    <x:tableColumn id="5" name="Strategic_Fit_1_5"/>
    <x:tableColumn id="6" name="Margin_Potential_1_5"/>
    <x:tableColumn id="7" name="Competition_Intensity_1_5"/>
    <x:tableColumn id="8" name="Segment_Attractiveness_Score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enueScenariosTable" displayName="RevenueScenariosTable" ref="A1:H13" headerRowCount="1" totalsRowCount="0" totalsRowShown="0">
  <x:tableColumns count="8">
    <x:tableColumn id="1" name="Country"/>
    <x:tableColumn id="2" name="Scenario"/>
    <x:tableColumn id="3" name="Addressable_Market_2026_EUR_mn"/>
    <x:tableColumn id="4" name="Accessible_Share_Percent"/>
    <x:tableColumn id="5" name="Target_Capture_Rate_Percent"/>
    <x:tableColumn id="6" name="Year_1_Revenue_Potential_EUR_mn"/>
    <x:tableColumn id="7" name="Year_3_Revenue_Potential_EUR_mn"/>
    <x:tableColumn id="8" name="Assum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yRoadmapTable" displayName="StrategyRoadmapTable" ref="A1:G9" headerRowCount="1" totalsRowCount="0" totalsRowShown="0">
  <x:tableColumns count="7">
    <x:tableColumn id="1" name="Phase"/>
    <x:tableColumn id="2" name="Timing"/>
    <x:tableColumn id="3" name="Workstream"/>
    <x:tableColumn id="4" name="Action"/>
    <x:tableColumn id="5" name="Primary_Owner"/>
    <x:tableColumn id="6" name="Success_Metric"/>
    <x:tableColumn id="7" name="Why_It_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352a96f40c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98bdedb13341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7297945d934b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60a81d0ea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fcfeb87e4e47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94ba537af542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3517f88aca7458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European EV Market Intelligence &amp; Business Strategy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Project Type</x:v>
      </x:c>
      <x:c r="B4" s="14" t="str">
        <x:v>Independent student portfolio case study</x:v>
      </x:c>
    </x:row>
    <x:row r="5">
      <x:c r="A5" s="10" t="str">
        <x:v>Company</x:v>
      </x:c>
      <x:c r="B5" s="14" t="str">
        <x:v>Aster Mobility Systems GmbH (fictional)</x:v>
      </x:c>
    </x:row>
    <x:row r="6">
      <x:c r="A6" s="10" t="str">
        <x:v>Business Question</x:v>
      </x:c>
      <x:c r="B6" s="14" t="str">
        <x:v>Which European EV markets should a B2B mobility-tech company prioritize for expansion?</x:v>
      </x:c>
    </x:row>
    <x:row r="7">
      <x:c r="A7" s="10" t="str">
        <x:v>Markets</x:v>
      </x:c>
      <x:c r="B7" s="14" t="str">
        <x:v>8 European countries</x:v>
      </x:c>
    </x:row>
    <x:row r="8">
      <x:c r="A8" s="10" t="str">
        <x:v>Period</x:v>
      </x:c>
      <x:c r="B8" s="14" t="str">
        <x:v>2021-2026 synthetic market history</x:v>
      </x:c>
    </x:row>
    <x:row r="9">
      <x:c r="A9" s="10" t="str">
        <x:v>Core Analysis</x:v>
      </x:c>
      <x:c r="B9" s="14" t="str">
        <x:v>Market growth, adoption, infrastructure, competition, segment attractiveness and revenue scenarios</x:v>
      </x:c>
    </x:row>
    <x:row r="10">
      <x:c r="A10" s="10" t="str">
        <x:v>Main Tools</x:v>
      </x:c>
      <x:c r="B10" s="14" t="str">
        <x:v>Excel, SQL, market sizing, competitor benchmarking, strategy</x:v>
      </x:c>
    </x:row>
    <x:row r="11">
      <x:c r="A11" s="10" t="str">
        <x:v>Country Scoring</x:v>
      </x:c>
      <x:c r="B11" s="14" t="str">
        <x:v>Weighted market-attractiveness model</x:v>
      </x:c>
    </x:row>
    <x:row r="12">
      <x:c r="A12" s="10" t="str">
        <x:v>Revenue Scenarios</x:v>
      </x:c>
      <x:c r="B12" s="14" t="str">
        <x:v>Conservative / Base / Upside planning cases</x:v>
      </x:c>
    </x:row>
    <x:row r="13">
      <x:c r="A13" s="10" t="str">
        <x:v>Important Note</x:v>
      </x:c>
      <x:c r="B13" s="14" t="str">
        <x:v>All market sizes, shares, company names, values and scenarios are synthetic.</x:v>
      </x:c>
    </x:row>
    <x:row r="15">
      <x:c r="A15" s="18" t="str">
        <x:v>HOW TO READ THE WORKBOOK</x:v>
      </x:c>
      <x:c r="B15" s="18"/>
      <x:c r="C15" s="18"/>
      <x:c r="D15" s="18"/>
      <x:c r="E15" s="18"/>
      <x:c r="F15" s="18"/>
      <x:c r="G15" s="18"/>
      <x:c r="H15" s="18"/>
    </x:row>
    <x:row r="16">
      <x:c r="A16" s="14" t="str">
        <x:v>1</x:v>
      </x:c>
      <x:c r="B16" s="14" t="str">
        <x:v>Market_History</x:v>
      </x:c>
      <x:c r="C16" s="14" t="str">
        <x:v>Synthetic country-level EV, charging and addressable-market history.</x:v>
      </x:c>
    </x:row>
    <x:row r="17">
      <x:c r="A17" s="14" t="str">
        <x:v>2</x:v>
      </x:c>
      <x:c r="B17" s="14" t="str">
        <x:v>Country_Scoring</x:v>
      </x:c>
      <x:c r="C17" s="14" t="str">
        <x:v>Weighted country attractiveness score and priority tier.</x:v>
      </x:c>
    </x:row>
    <x:row r="18">
      <x:c r="A18" s="14" t="str">
        <x:v>3</x:v>
      </x:c>
      <x:c r="B18" s="14" t="str">
        <x:v>Competitors</x:v>
      </x:c>
      <x:c r="C18" s="14" t="str">
        <x:v>Fictional competitor benchmark across positioning, coverage, technology and price.</x:v>
      </x:c>
    </x:row>
    <x:row r="19">
      <x:c r="A19" s="14" t="str">
        <x:v>4</x:v>
      </x:c>
      <x:c r="B19" s="14" t="str">
        <x:v>Customer_Segments</x:v>
      </x:c>
      <x:c r="C19" s="14" t="str">
        <x:v>Segment sizing and attractiveness assessment.</x:v>
      </x:c>
    </x:row>
    <x:row r="20">
      <x:c r="A20" s="14" t="str">
        <x:v>5</x:v>
      </x:c>
      <x:c r="B20" s="14" t="str">
        <x:v>Revenue_Scenarios</x:v>
      </x:c>
      <x:c r="C20" s="14" t="str">
        <x:v>Simple country-level revenue potential under three assumptions.</x:v>
      </x:c>
    </x:row>
    <x:row r="21">
      <x:c r="A21" s="14" t="str">
        <x:v>6</x:v>
      </x:c>
      <x:c r="B21" s="14" t="str">
        <x:v>Strategy_Roadmap</x:v>
      </x:c>
      <x:c r="C21" s="14" t="str">
        <x:v>A staged 12-month validation, pilot and scale plan.</x:v>
      </x:c>
    </x:row>
    <x:row r="22">
      <x:c r="A22" s="14" t="str">
        <x:v>7</x:v>
      </x:c>
      <x:c r="B22" s="14" t="str">
        <x:v>Executive_Dashboard</x:v>
      </x:c>
      <x:c r="C22" s="14" t="str">
        <x:v>Summary of the market opportunity and recommended priorities.</x:v>
      </x:c>
    </x:row>
    <x:row r="23">
      <x:c r="A23" s="14" t="str">
        <x:v>8</x:v>
      </x:c>
      <x:c r="B23" s="14" t="str">
        <x:v>README / docs</x:v>
      </x:c>
      <x:c r="C23" s="14" t="str">
        <x:v>Explains the assumptions and what I learned from the project.</x:v>
      </x:c>
    </x:row>
  </x:sheetData>
  <x:mergeCells>
    <x:mergeCell ref="A1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2" hidden="0" customWidth="1"/>
    <x:col min="8" max="8" width="26" hidden="0" customWidth="1"/>
    <x:col min="9" max="9" width="20" hidden="0" customWidth="1"/>
    <x:col min="10" max="10" width="24" hidden="0" customWidth="1"/>
    <x:col min="11" max="11" width="18" hidden="0" customWidth="1"/>
  </x:cols>
  <x:sheetData>
    <x:row r="1">
      <x:c r="A1" s="18" t="str">
        <x:v>Year</x:v>
      </x:c>
      <x:c r="B1" s="18" t="str">
        <x:v>Country</x:v>
      </x:c>
      <x:c r="C1" s="18" t="str">
        <x:v>EV_Registrations</x:v>
      </x:c>
      <x:c r="D1" s="18" t="str">
        <x:v>Total_Car_Registrations</x:v>
      </x:c>
      <x:c r="E1" s="18" t="str">
        <x:v>EV_Share_Percent</x:v>
      </x:c>
      <x:c r="F1" s="18" t="str">
        <x:v>Public_Charging_Points</x:v>
      </x:c>
      <x:c r="G1" s="18" t="str">
        <x:v>Charging_Points_per_1000_EV</x:v>
      </x:c>
      <x:c r="H1" s="18" t="str">
        <x:v>Estimated_Addressable_Market_EUR_mn</x:v>
      </x:c>
      <x:c r="I1" s="18" t="str">
        <x:v>Commercial_Ease_1_5</x:v>
      </x:c>
      <x:c r="J1" s="18" t="str">
        <x:v>Competition_Intensity_1_5</x:v>
      </x:c>
      <x:c r="K1" s="18" t="str">
        <x:v>Price_Index_vs_EU</x:v>
      </x:c>
    </x:row>
    <x:row r="2">
      <x:c r="A2" s="14" t="n">
        <x:v>2021</x:v>
      </x:c>
      <x:c r="B2" s="14" t="str">
        <x:v>Germany</x:v>
      </x:c>
      <x:c r="C2" s="14" t="n">
        <x:v>354539</x:v>
      </x:c>
      <x:c r="D2" s="14" t="n">
        <x:v>2616504</x:v>
      </x:c>
      <x:c r="E2" s="22" t="n">
        <x:v>13.6</x:v>
      </x:c>
      <x:c r="F2" s="14" t="n">
        <x:v>45938</x:v>
      </x:c>
      <x:c r="G2" s="22" t="n">
        <x:v>129.6</x:v>
      </x:c>
      <x:c r="H2" s="24" t="n">
        <x:v>317</x:v>
      </x:c>
      <x:c r="I2" s="14" t="n">
        <x:v>4.6</x:v>
      </x:c>
      <x:c r="J2" s="14" t="n">
        <x:v>4.5</x:v>
      </x:c>
      <x:c r="K2" s="14" t="n">
        <x:v>1.08</x:v>
      </x:c>
    </x:row>
    <x:row r="3">
      <x:c r="A3" s="14" t="n">
        <x:v>2022</x:v>
      </x:c>
      <x:c r="B3" s="14" t="str">
        <x:v>Germany</x:v>
      </x:c>
      <x:c r="C3" s="14" t="n">
        <x:v>391985</x:v>
      </x:c>
      <x:c r="D3" s="14" t="n">
        <x:v>2683087</x:v>
      </x:c>
      <x:c r="E3" s="22" t="n">
        <x:v>14.6</x:v>
      </x:c>
      <x:c r="F3" s="14" t="n">
        <x:v>56498</x:v>
      </x:c>
      <x:c r="G3" s="22" t="n">
        <x:v>144.1</x:v>
      </x:c>
      <x:c r="H3" s="24" t="n">
        <x:v>355.7</x:v>
      </x:c>
      <x:c r="I3" s="14" t="n">
        <x:v>4.6</x:v>
      </x:c>
      <x:c r="J3" s="14" t="n">
        <x:v>4.5</x:v>
      </x:c>
      <x:c r="K3" s="14" t="n">
        <x:v>1.08</x:v>
      </x:c>
    </x:row>
    <x:row r="4">
      <x:c r="A4" s="14" t="n">
        <x:v>2023</x:v>
      </x:c>
      <x:c r="B4" s="14" t="str">
        <x:v>Germany</x:v>
      </x:c>
      <x:c r="C4" s="14" t="n">
        <x:v>458984</x:v>
      </x:c>
      <x:c r="D4" s="14" t="n">
        <x:v>2691592</x:v>
      </x:c>
      <x:c r="E4" s="22" t="n">
        <x:v>17.1</x:v>
      </x:c>
      <x:c r="F4" s="14" t="n">
        <x:v>77766</x:v>
      </x:c>
      <x:c r="G4" s="22" t="n">
        <x:v>169.4</x:v>
      </x:c>
      <x:c r="H4" s="24" t="n">
        <x:v>426.9</x:v>
      </x:c>
      <x:c r="I4" s="14" t="n">
        <x:v>4.6</x:v>
      </x:c>
      <x:c r="J4" s="14" t="n">
        <x:v>4.5</x:v>
      </x:c>
      <x:c r="K4" s="14" t="n">
        <x:v>1.08</x:v>
      </x:c>
    </x:row>
    <x:row r="5">
      <x:c r="A5" s="14" t="n">
        <x:v>2024</x:v>
      </x:c>
      <x:c r="B5" s="14" t="str">
        <x:v>Germany</x:v>
      </x:c>
      <x:c r="C5" s="14" t="n">
        <x:v>525782</x:v>
      </x:c>
      <x:c r="D5" s="14" t="n">
        <x:v>2719518</x:v>
      </x:c>
      <x:c r="E5" s="22" t="n">
        <x:v>19.3</x:v>
      </x:c>
      <x:c r="F5" s="14" t="n">
        <x:v>101581</x:v>
      </x:c>
      <x:c r="G5" s="22" t="n">
        <x:v>193.2</x:v>
      </x:c>
      <x:c r="H5" s="24" t="n">
        <x:v>500.3</x:v>
      </x:c>
      <x:c r="I5" s="14" t="n">
        <x:v>4.6</x:v>
      </x:c>
      <x:c r="J5" s="14" t="n">
        <x:v>4.5</x:v>
      </x:c>
      <x:c r="K5" s="14" t="n">
        <x:v>1.08</x:v>
      </x:c>
    </x:row>
    <x:row r="6">
      <x:c r="A6" s="14" t="n">
        <x:v>2025</x:v>
      </x:c>
      <x:c r="B6" s="14" t="str">
        <x:v>Germany</x:v>
      </x:c>
      <x:c r="C6" s="14" t="n">
        <x:v>623729</x:v>
      </x:c>
      <x:c r="D6" s="14" t="n">
        <x:v>2757773</x:v>
      </x:c>
      <x:c r="E6" s="22" t="n">
        <x:v>22.6</x:v>
      </x:c>
      <x:c r="F6" s="14" t="n">
        <x:v>130303</x:v>
      </x:c>
      <x:c r="G6" s="22" t="n">
        <x:v>208.9</x:v>
      </x:c>
      <x:c r="H6" s="24" t="n">
        <x:v>602.3</x:v>
      </x:c>
      <x:c r="I6" s="14" t="n">
        <x:v>4.6</x:v>
      </x:c>
      <x:c r="J6" s="14" t="n">
        <x:v>4.5</x:v>
      </x:c>
      <x:c r="K6" s="14" t="n">
        <x:v>1.08</x:v>
      </x:c>
    </x:row>
    <x:row r="7">
      <x:c r="A7" s="14" t="n">
        <x:v>2026</x:v>
      </x:c>
      <x:c r="B7" s="14" t="str">
        <x:v>Germany</x:v>
      </x:c>
      <x:c r="C7" s="14" t="n">
        <x:v>675865</x:v>
      </x:c>
      <x:c r="D7" s="14" t="n">
        <x:v>2827983</x:v>
      </x:c>
      <x:c r="E7" s="22" t="n">
        <x:v>23.9</x:v>
      </x:c>
      <x:c r="F7" s="14" t="n">
        <x:v>167941</x:v>
      </x:c>
      <x:c r="G7" s="22" t="n">
        <x:v>248.5</x:v>
      </x:c>
      <x:c r="H7" s="24" t="n">
        <x:v>676.7</x:v>
      </x:c>
      <x:c r="I7" s="14" t="n">
        <x:v>4.6</x:v>
      </x:c>
      <x:c r="J7" s="14" t="n">
        <x:v>4.5</x:v>
      </x:c>
      <x:c r="K7" s="14" t="n">
        <x:v>1.08</x:v>
      </x:c>
    </x:row>
    <x:row r="8">
      <x:c r="A8" s="14" t="n">
        <x:v>2021</x:v>
      </x:c>
      <x:c r="B8" s="14" t="str">
        <x:v>France</x:v>
      </x:c>
      <x:c r="C8" s="14" t="n">
        <x:v>290434</x:v>
      </x:c>
      <x:c r="D8" s="14" t="n">
        <x:v>1661275</x:v>
      </x:c>
      <x:c r="E8" s="22" t="n">
        <x:v>17.5</x:v>
      </x:c>
      <x:c r="F8" s="14" t="n">
        <x:v>53832</x:v>
      </x:c>
      <x:c r="G8" s="22" t="n">
        <x:v>185.4</x:v>
      </x:c>
      <x:c r="H8" s="24" t="n">
        <x:v>265.9</x:v>
      </x:c>
      <x:c r="I8" s="14" t="n">
        <x:v>4.2</x:v>
      </x:c>
      <x:c r="J8" s="14" t="n">
        <x:v>4</x:v>
      </x:c>
      <x:c r="K8" s="14" t="n">
        <x:v>1.04</x:v>
      </x:c>
    </x:row>
    <x:row r="9">
      <x:c r="A9" s="14" t="n">
        <x:v>2022</x:v>
      </x:c>
      <x:c r="B9" s="14" t="str">
        <x:v>France</x:v>
      </x:c>
      <x:c r="C9" s="14" t="n">
        <x:v>339392</x:v>
      </x:c>
      <x:c r="D9" s="14" t="n">
        <x:v>1680598</x:v>
      </x:c>
      <x:c r="E9" s="22" t="n">
        <x:v>20.2</x:v>
      </x:c>
      <x:c r="F9" s="14" t="n">
        <x:v>67606</x:v>
      </x:c>
      <x:c r="G9" s="22" t="n">
        <x:v>199.2</x:v>
      </x:c>
      <x:c r="H9" s="24" t="n">
        <x:v>315</x:v>
      </x:c>
      <x:c r="I9" s="14" t="n">
        <x:v>4.2</x:v>
      </x:c>
      <x:c r="J9" s="14" t="n">
        <x:v>4</x:v>
      </x:c>
      <x:c r="K9" s="14" t="n">
        <x:v>1.04</x:v>
      </x:c>
    </x:row>
    <x:row r="10">
      <x:c r="A10" s="14" t="n">
        <x:v>2023</x:v>
      </x:c>
      <x:c r="B10" s="14" t="str">
        <x:v>France</x:v>
      </x:c>
      <x:c r="C10" s="14" t="n">
        <x:v>388780</x:v>
      </x:c>
      <x:c r="D10" s="14" t="n">
        <x:v>1725083</x:v>
      </x:c>
      <x:c r="E10" s="22" t="n">
        <x:v>22.5</x:v>
      </x:c>
      <x:c r="F10" s="14" t="n">
        <x:v>91273</x:v>
      </x:c>
      <x:c r="G10" s="22" t="n">
        <x:v>234.8</x:v>
      </x:c>
      <x:c r="H10" s="24" t="n">
        <x:v>373.3</x:v>
      </x:c>
      <x:c r="I10" s="14" t="n">
        <x:v>4.2</x:v>
      </x:c>
      <x:c r="J10" s="14" t="n">
        <x:v>4</x:v>
      </x:c>
      <x:c r="K10" s="14" t="n">
        <x:v>1.04</x:v>
      </x:c>
    </x:row>
    <x:row r="11">
      <x:c r="A11" s="14" t="n">
        <x:v>2024</x:v>
      </x:c>
      <x:c r="B11" s="14" t="str">
        <x:v>France</x:v>
      </x:c>
      <x:c r="C11" s="14" t="n">
        <x:v>478244</x:v>
      </x:c>
      <x:c r="D11" s="14" t="n">
        <x:v>1741512</x:v>
      </x:c>
      <x:c r="E11" s="22" t="n">
        <x:v>27.5</x:v>
      </x:c>
      <x:c r="F11" s="14" t="n">
        <x:v>116952</x:v>
      </x:c>
      <x:c r="G11" s="22" t="n">
        <x:v>244.5</x:v>
      </x:c>
      <x:c r="H11" s="24" t="n">
        <x:v>463.4</x:v>
      </x:c>
      <x:c r="I11" s="14" t="n">
        <x:v>4.2</x:v>
      </x:c>
      <x:c r="J11" s="14" t="n">
        <x:v>4</x:v>
      </x:c>
      <x:c r="K11" s="14" t="n">
        <x:v>1.04</x:v>
      </x:c>
    </x:row>
    <x:row r="12">
      <x:c r="A12" s="14" t="n">
        <x:v>2025</x:v>
      </x:c>
      <x:c r="B12" s="14" t="str">
        <x:v>France</x:v>
      </x:c>
      <x:c r="C12" s="14" t="n">
        <x:v>564483</x:v>
      </x:c>
      <x:c r="D12" s="14" t="n">
        <x:v>1807999</x:v>
      </x:c>
      <x:c r="E12" s="22" t="n">
        <x:v>31.2</x:v>
      </x:c>
      <x:c r="F12" s="14" t="n">
        <x:v>143553</x:v>
      </x:c>
      <x:c r="G12" s="22" t="n">
        <x:v>254.3</x:v>
      </x:c>
      <x:c r="H12" s="24" t="n">
        <x:v>551.9</x:v>
      </x:c>
      <x:c r="I12" s="14" t="n">
        <x:v>4.2</x:v>
      </x:c>
      <x:c r="J12" s="14" t="n">
        <x:v>4</x:v>
      </x:c>
      <x:c r="K12" s="14" t="n">
        <x:v>1.04</x:v>
      </x:c>
    </x:row>
    <x:row r="13">
      <x:c r="A13" s="14" t="n">
        <x:v>2026</x:v>
      </x:c>
      <x:c r="B13" s="14" t="str">
        <x:v>France</x:v>
      </x:c>
      <x:c r="C13" s="14" t="n">
        <x:v>602578</x:v>
      </x:c>
      <x:c r="D13" s="14" t="n">
        <x:v>1823647</x:v>
      </x:c>
      <x:c r="E13" s="22" t="n">
        <x:v>33</x:v>
      </x:c>
      <x:c r="F13" s="14" t="n">
        <x:v>193682</x:v>
      </x:c>
      <x:c r="G13" s="22" t="n">
        <x:v>321.4</x:v>
      </x:c>
      <x:c r="H13" s="24" t="n">
        <x:v>625.5</x:v>
      </x:c>
      <x:c r="I13" s="14" t="n">
        <x:v>4.2</x:v>
      </x:c>
      <x:c r="J13" s="14" t="n">
        <x:v>4</x:v>
      </x:c>
      <x:c r="K13" s="14" t="n">
        <x:v>1.04</x:v>
      </x:c>
    </x:row>
    <x:row r="14">
      <x:c r="A14" s="14" t="n">
        <x:v>2021</x:v>
      </x:c>
      <x:c r="B14" s="14" t="str">
        <x:v>United Kingdom</x:v>
      </x:c>
      <x:c r="C14" s="14" t="n">
        <x:v>304818</x:v>
      </x:c>
      <x:c r="D14" s="14" t="n">
        <x:v>1668861</x:v>
      </x:c>
      <x:c r="E14" s="22" t="n">
        <x:v>18.3</x:v>
      </x:c>
      <x:c r="F14" s="14" t="n">
        <x:v>30147</x:v>
      </x:c>
      <x:c r="G14" s="22" t="n">
        <x:v>98.9</x:v>
      </x:c>
      <x:c r="H14" s="24" t="n">
        <x:v>268.5</x:v>
      </x:c>
      <x:c r="I14" s="14" t="n">
        <x:v>4.4</x:v>
      </x:c>
      <x:c r="J14" s="14" t="n">
        <x:v>4.2</x:v>
      </x:c>
      <x:c r="K14" s="14" t="n">
        <x:v>1.1</x:v>
      </x:c>
    </x:row>
    <x:row r="15">
      <x:c r="A15" s="14" t="n">
        <x:v>2022</x:v>
      </x:c>
      <x:c r="B15" s="14" t="str">
        <x:v>United Kingdom</x:v>
      </x:c>
      <x:c r="C15" s="14" t="n">
        <x:v>358849</x:v>
      </x:c>
      <x:c r="D15" s="14" t="n">
        <x:v>1705551</x:v>
      </x:c>
      <x:c r="E15" s="22" t="n">
        <x:v>21</x:v>
      </x:c>
      <x:c r="F15" s="14" t="n">
        <x:v>39775</x:v>
      </x:c>
      <x:c r="G15" s="22" t="n">
        <x:v>110.8</x:v>
      </x:c>
      <x:c r="H15" s="24" t="n">
        <x:v>320</x:v>
      </x:c>
      <x:c r="I15" s="14" t="n">
        <x:v>4.4</x:v>
      </x:c>
      <x:c r="J15" s="14" t="n">
        <x:v>4.2</x:v>
      </x:c>
      <x:c r="K15" s="14" t="n">
        <x:v>1.1</x:v>
      </x:c>
    </x:row>
    <x:row r="16">
      <x:c r="A16" s="14" t="n">
        <x:v>2023</x:v>
      </x:c>
      <x:c r="B16" s="14" t="str">
        <x:v>United Kingdom</x:v>
      </x:c>
      <x:c r="C16" s="14" t="n">
        <x:v>413096</x:v>
      </x:c>
      <x:c r="D16" s="14" t="n">
        <x:v>1789254</x:v>
      </x:c>
      <x:c r="E16" s="22" t="n">
        <x:v>23.1</x:v>
      </x:c>
      <x:c r="F16" s="14" t="n">
        <x:v>53234</x:v>
      </x:c>
      <x:c r="G16" s="22" t="n">
        <x:v>128.9</x:v>
      </x:c>
      <x:c r="H16" s="24" t="n">
        <x:v>375.1</x:v>
      </x:c>
      <x:c r="I16" s="14" t="n">
        <x:v>4.4</x:v>
      </x:c>
      <x:c r="J16" s="14" t="n">
        <x:v>4.2</x:v>
      </x:c>
      <x:c r="K16" s="14" t="n">
        <x:v>1.1</x:v>
      </x:c>
    </x:row>
    <x:row r="17">
      <x:c r="A17" s="14" t="n">
        <x:v>2024</x:v>
      </x:c>
      <x:c r="B17" s="14" t="str">
        <x:v>United Kingdom</x:v>
      </x:c>
      <x:c r="C17" s="14" t="n">
        <x:v>481679</x:v>
      </x:c>
      <x:c r="D17" s="14" t="n">
        <x:v>1796828</x:v>
      </x:c>
      <x:c r="E17" s="22" t="n">
        <x:v>26.8</x:v>
      </x:c>
      <x:c r="F17" s="14" t="n">
        <x:v>67562</x:v>
      </x:c>
      <x:c r="G17" s="22" t="n">
        <x:v>140.3</x:v>
      </x:c>
      <x:c r="H17" s="24" t="n">
        <x:v>442.3</x:v>
      </x:c>
      <x:c r="I17" s="14" t="n">
        <x:v>4.4</x:v>
      </x:c>
      <x:c r="J17" s="14" t="n">
        <x:v>4.2</x:v>
      </x:c>
      <x:c r="K17" s="14" t="n">
        <x:v>1.1</x:v>
      </x:c>
    </x:row>
    <x:row r="18">
      <x:c r="A18" s="14" t="n">
        <x:v>2025</x:v>
      </x:c>
      <x:c r="B18" s="14" t="str">
        <x:v>United Kingdom</x:v>
      </x:c>
      <x:c r="C18" s="14" t="n">
        <x:v>578399</x:v>
      </x:c>
      <x:c r="D18" s="14" t="n">
        <x:v>1825280</x:v>
      </x:c>
      <x:c r="E18" s="22" t="n">
        <x:v>31.7</x:v>
      </x:c>
      <x:c r="F18" s="14" t="n">
        <x:v>90472</x:v>
      </x:c>
      <x:c r="G18" s="22" t="n">
        <x:v>156.4</x:v>
      </x:c>
      <x:c r="H18" s="24" t="n">
        <x:v>539.5</x:v>
      </x:c>
      <x:c r="I18" s="14" t="n">
        <x:v>4.4</x:v>
      </x:c>
      <x:c r="J18" s="14" t="n">
        <x:v>4.2</x:v>
      </x:c>
      <x:c r="K18" s="14" t="n">
        <x:v>1.1</x:v>
      </x:c>
    </x:row>
    <x:row r="19">
      <x:c r="A19" s="14" t="n">
        <x:v>2026</x:v>
      </x:c>
      <x:c r="B19" s="14" t="str">
        <x:v>United Kingdom</x:v>
      </x:c>
      <x:c r="C19" s="14" t="n">
        <x:v>681190</x:v>
      </x:c>
      <x:c r="D19" s="14" t="n">
        <x:v>1925662</x:v>
      </x:c>
      <x:c r="E19" s="22" t="n">
        <x:v>35.4</x:v>
      </x:c>
      <x:c r="F19" s="14" t="n">
        <x:v>121603</x:v>
      </x:c>
      <x:c r="G19" s="22" t="n">
        <x:v>178.5</x:v>
      </x:c>
      <x:c r="H19" s="24" t="n">
        <x:v>648.9</x:v>
      </x:c>
      <x:c r="I19" s="14" t="n">
        <x:v>4.4</x:v>
      </x:c>
      <x:c r="J19" s="14" t="n">
        <x:v>4.2</x:v>
      </x:c>
      <x:c r="K19" s="14" t="n">
        <x:v>1.1</x:v>
      </x:c>
    </x:row>
    <x:row r="20">
      <x:c r="A20" s="14" t="n">
        <x:v>2021</x:v>
      </x:c>
      <x:c r="B20" s="14" t="str">
        <x:v>Netherlands</x:v>
      </x:c>
      <x:c r="C20" s="14" t="n">
        <x:v>97048</x:v>
      </x:c>
      <x:c r="D20" s="14" t="n">
        <x:v>324955</x:v>
      </x:c>
      <x:c r="E20" s="22" t="n">
        <x:v>29.9</x:v>
      </x:c>
      <x:c r="F20" s="14" t="n">
        <x:v>84772</x:v>
      </x:c>
      <x:c r="G20" s="22" t="n">
        <x:v>873.5</x:v>
      </x:c>
      <x:c r="H20" s="24" t="n">
        <x:v>151.1</x:v>
      </x:c>
      <x:c r="I20" s="14" t="n">
        <x:v>4.5</x:v>
      </x:c>
      <x:c r="J20" s="14" t="n">
        <x:v>4</x:v>
      </x:c>
      <x:c r="K20" s="14" t="n">
        <x:v>1.07</x:v>
      </x:c>
    </x:row>
    <x:row r="21">
      <x:c r="A21" s="14" t="n">
        <x:v>2022</x:v>
      </x:c>
      <x:c r="B21" s="14" t="str">
        <x:v>Netherlands</x:v>
      </x:c>
      <x:c r="C21" s="14" t="n">
        <x:v>115709</x:v>
      </x:c>
      <x:c r="D21" s="14" t="n">
        <x:v>324783</x:v>
      </x:c>
      <x:c r="E21" s="22" t="n">
        <x:v>35.6</x:v>
      </x:c>
      <x:c r="F21" s="14" t="n">
        <x:v>103669</x:v>
      </x:c>
      <x:c r="G21" s="22" t="n">
        <x:v>895.9</x:v>
      </x:c>
      <x:c r="H21" s="24" t="n">
        <x:v>182.4</x:v>
      </x:c>
      <x:c r="I21" s="14" t="n">
        <x:v>4.5</x:v>
      </x:c>
      <x:c r="J21" s="14" t="n">
        <x:v>4</x:v>
      </x:c>
      <x:c r="K21" s="14" t="n">
        <x:v>1.07</x:v>
      </x:c>
    </x:row>
    <x:row r="22">
      <x:c r="A22" s="14" t="n">
        <x:v>2023</x:v>
      </x:c>
      <x:c r="B22" s="14" t="str">
        <x:v>Netherlands</x:v>
      </x:c>
      <x:c r="C22" s="14" t="n">
        <x:v>126742</x:v>
      </x:c>
      <x:c r="D22" s="14" t="n">
        <x:v>332733</x:v>
      </x:c>
      <x:c r="E22" s="22" t="n">
        <x:v>38.1</x:v>
      </x:c>
      <x:c r="F22" s="14" t="n">
        <x:v>117425</x:v>
      </x:c>
      <x:c r="G22" s="22" t="n">
        <x:v>926.5</x:v>
      </x:c>
      <x:c r="H22" s="24" t="n">
        <x:v>203.3</x:v>
      </x:c>
      <x:c r="I22" s="14" t="n">
        <x:v>4.5</x:v>
      </x:c>
      <x:c r="J22" s="14" t="n">
        <x:v>4</x:v>
      </x:c>
      <x:c r="K22" s="14" t="n">
        <x:v>1.07</x:v>
      </x:c>
    </x:row>
    <x:row r="23">
      <x:c r="A23" s="14" t="n">
        <x:v>2024</x:v>
      </x:c>
      <x:c r="B23" s="14" t="str">
        <x:v>Netherlands</x:v>
      </x:c>
      <x:c r="C23" s="14" t="n">
        <x:v>139066</x:v>
      </x:c>
      <x:c r="D23" s="14" t="n">
        <x:v>332186</x:v>
      </x:c>
      <x:c r="E23" s="22" t="n">
        <x:v>41.9</x:v>
      </x:c>
      <x:c r="F23" s="14" t="n">
        <x:v>142453</x:v>
      </x:c>
      <x:c r="G23" s="22" t="n">
        <x:v>1024.4</x:v>
      </x:c>
      <x:c r="H23" s="24" t="n">
        <x:v>235.3</x:v>
      </x:c>
      <x:c r="I23" s="14" t="n">
        <x:v>4.5</x:v>
      </x:c>
      <x:c r="J23" s="14" t="n">
        <x:v>4</x:v>
      </x:c>
      <x:c r="K23" s="14" t="n">
        <x:v>1.07</x:v>
      </x:c>
    </x:row>
    <x:row r="24">
      <x:c r="A24" s="14" t="n">
        <x:v>2025</x:v>
      </x:c>
      <x:c r="B24" s="14" t="str">
        <x:v>Netherlands</x:v>
      </x:c>
      <x:c r="C24" s="14" t="n">
        <x:v>155591</x:v>
      </x:c>
      <x:c r="D24" s="14" t="n">
        <x:v>337266</x:v>
      </x:c>
      <x:c r="E24" s="22" t="n">
        <x:v>46.1</x:v>
      </x:c>
      <x:c r="F24" s="14" t="n">
        <x:v>168649</x:v>
      </x:c>
      <x:c r="G24" s="22" t="n">
        <x:v>1083.9</x:v>
      </x:c>
      <x:c r="H24" s="24" t="n">
        <x:v>271.7</x:v>
      </x:c>
      <x:c r="I24" s="14" t="n">
        <x:v>4.5</x:v>
      </x:c>
      <x:c r="J24" s="14" t="n">
        <x:v>4</x:v>
      </x:c>
      <x:c r="K24" s="14" t="n">
        <x:v>1.07</x:v>
      </x:c>
    </x:row>
    <x:row r="25">
      <x:c r="A25" s="14" t="n">
        <x:v>2026</x:v>
      </x:c>
      <x:c r="B25" s="14" t="str">
        <x:v>Netherlands</x:v>
      </x:c>
      <x:c r="C25" s="14" t="n">
        <x:v>178506</x:v>
      </x:c>
      <x:c r="D25" s="14" t="n">
        <x:v>340732</x:v>
      </x:c>
      <x:c r="E25" s="22" t="n">
        <x:v>52.4</x:v>
      </x:c>
      <x:c r="F25" s="14" t="n">
        <x:v>195568</x:v>
      </x:c>
      <x:c r="G25" s="22" t="n">
        <x:v>1095.6</x:v>
      </x:c>
      <x:c r="H25" s="24" t="n">
        <x:v>313.5</x:v>
      </x:c>
      <x:c r="I25" s="14" t="n">
        <x:v>4.5</x:v>
      </x:c>
      <x:c r="J25" s="14" t="n">
        <x:v>4</x:v>
      </x:c>
      <x:c r="K25" s="14" t="n">
        <x:v>1.07</x:v>
      </x:c>
    </x:row>
    <x:row r="26">
      <x:c r="A26" s="14" t="n">
        <x:v>2021</x:v>
      </x:c>
      <x:c r="B26" s="14" t="str">
        <x:v>Norway</x:v>
      </x:c>
      <x:c r="C26" s="14" t="n">
        <x:v>135084</x:v>
      </x:c>
      <x:c r="D26" s="14" t="n">
        <x:v>172813</x:v>
      </x:c>
      <x:c r="E26" s="22" t="n">
        <x:v>78.2</x:v>
      </x:c>
      <x:c r="F26" s="14" t="n">
        <x:v>20174</x:v>
      </x:c>
      <x:c r="G26" s="22" t="n">
        <x:v>149.3</x:v>
      </x:c>
      <x:c r="H26" s="24" t="n">
        <x:v>129</x:v>
      </x:c>
      <x:c r="I26" s="14" t="n">
        <x:v>4</x:v>
      </x:c>
      <x:c r="J26" s="14" t="n">
        <x:v>4.6</x:v>
      </x:c>
      <x:c r="K26" s="14" t="n">
        <x:v>1.14</x:v>
      </x:c>
    </x:row>
    <x:row r="27">
      <x:c r="A27" s="14" t="n">
        <x:v>2022</x:v>
      </x:c>
      <x:c r="B27" s="14" t="str">
        <x:v>Norway</x:v>
      </x:c>
      <x:c r="C27" s="14" t="n">
        <x:v>157125</x:v>
      </x:c>
      <x:c r="D27" s="14" t="n">
        <x:v>180247</x:v>
      </x:c>
      <x:c r="E27" s="22" t="n">
        <x:v>87.2</x:v>
      </x:c>
      <x:c r="F27" s="14" t="n">
        <x:v>24159</x:v>
      </x:c>
      <x:c r="G27" s="22" t="n">
        <x:v>153.8</x:v>
      </x:c>
      <x:c r="H27" s="24" t="n">
        <x:v>150.7</x:v>
      </x:c>
      <x:c r="I27" s="14" t="n">
        <x:v>4</x:v>
      </x:c>
      <x:c r="J27" s="14" t="n">
        <x:v>4.6</x:v>
      </x:c>
      <x:c r="K27" s="14" t="n">
        <x:v>1.14</x:v>
      </x:c>
    </x:row>
    <x:row r="28">
      <x:c r="A28" s="14" t="n">
        <x:v>2023</x:v>
      </x:c>
      <x:c r="B28" s="14" t="str">
        <x:v>Norway</x:v>
      </x:c>
      <x:c r="C28" s="14" t="n">
        <x:v>156551</x:v>
      </x:c>
      <x:c r="D28" s="14" t="n">
        <x:v>174888</x:v>
      </x:c>
      <x:c r="E28" s="22" t="n">
        <x:v>89.5</x:v>
      </x:c>
      <x:c r="F28" s="14" t="n">
        <x:v>27015</x:v>
      </x:c>
      <x:c r="G28" s="22" t="n">
        <x:v>172.6</x:v>
      </x:c>
      <x:c r="H28" s="24" t="n">
        <x:v>152.8</x:v>
      </x:c>
      <x:c r="I28" s="14" t="n">
        <x:v>4</x:v>
      </x:c>
      <x:c r="J28" s="14" t="n">
        <x:v>4.6</x:v>
      </x:c>
      <x:c r="K28" s="14" t="n">
        <x:v>1.14</x:v>
      </x:c>
    </x:row>
    <x:row r="29">
      <x:c r="A29" s="14" t="n">
        <x:v>2024</x:v>
      </x:c>
      <x:c r="B29" s="14" t="str">
        <x:v>Norway</x:v>
      </x:c>
      <x:c r="C29" s="14" t="n">
        <x:v>156363</x:v>
      </x:c>
      <x:c r="D29" s="14" t="n">
        <x:v>169960</x:v>
      </x:c>
      <x:c r="E29" s="22" t="n">
        <x:v>92</x:v>
      </x:c>
      <x:c r="F29" s="14" t="n">
        <x:v>30676</x:v>
      </x:c>
      <x:c r="G29" s="22" t="n">
        <x:v>196.2</x:v>
      </x:c>
      <x:c r="H29" s="24" t="n">
        <x:v>156</x:v>
      </x:c>
      <x:c r="I29" s="14" t="n">
        <x:v>4</x:v>
      </x:c>
      <x:c r="J29" s="14" t="n">
        <x:v>4.6</x:v>
      </x:c>
      <x:c r="K29" s="14" t="n">
        <x:v>1.14</x:v>
      </x:c>
    </x:row>
    <x:row r="30">
      <x:c r="A30" s="14" t="n">
        <x:v>2025</x:v>
      </x:c>
      <x:c r="B30" s="14" t="str">
        <x:v>Norway</x:v>
      </x:c>
      <x:c r="C30" s="14" t="n">
        <x:v>163289</x:v>
      </x:c>
      <x:c r="D30" s="14" t="n">
        <x:v>177489</x:v>
      </x:c>
      <x:c r="E30" s="22" t="n">
        <x:v>92</x:v>
      </x:c>
      <x:c r="F30" s="14" t="n">
        <x:v>36065</x:v>
      </x:c>
      <x:c r="G30" s="22" t="n">
        <x:v>220.9</x:v>
      </x:c>
      <x:c r="H30" s="24" t="n">
        <x:v>166.5</x:v>
      </x:c>
      <x:c r="I30" s="14" t="n">
        <x:v>4</x:v>
      </x:c>
      <x:c r="J30" s="14" t="n">
        <x:v>4.6</x:v>
      </x:c>
      <x:c r="K30" s="14" t="n">
        <x:v>1.14</x:v>
      </x:c>
    </x:row>
    <x:row r="31">
      <x:c r="A31" s="14" t="n">
        <x:v>2026</x:v>
      </x:c>
      <x:c r="B31" s="14" t="str">
        <x:v>Norway</x:v>
      </x:c>
      <x:c r="C31" s="14" t="n">
        <x:v>162592</x:v>
      </x:c>
      <x:c r="D31" s="14" t="n">
        <x:v>176731</x:v>
      </x:c>
      <x:c r="E31" s="22" t="n">
        <x:v>92</x:v>
      </x:c>
      <x:c r="F31" s="14" t="n">
        <x:v>39379</x:v>
      </x:c>
      <x:c r="G31" s="22" t="n">
        <x:v>242.2</x:v>
      </x:c>
      <x:c r="H31" s="24" t="n">
        <x:v>168.9</x:v>
      </x:c>
      <x:c r="I31" s="14" t="n">
        <x:v>4</x:v>
      </x:c>
      <x:c r="J31" s="14" t="n">
        <x:v>4.6</x:v>
      </x:c>
      <x:c r="K31" s="14" t="n">
        <x:v>1.14</x:v>
      </x:c>
    </x:row>
    <x:row r="32">
      <x:c r="A32" s="14" t="n">
        <x:v>2021</x:v>
      </x:c>
      <x:c r="B32" s="14" t="str">
        <x:v>Sweden</x:v>
      </x:c>
      <x:c r="C32" s="14" t="n">
        <x:v>134563</x:v>
      </x:c>
      <x:c r="D32" s="14" t="n">
        <x:v>296733</x:v>
      </x:c>
      <x:c r="E32" s="22" t="n">
        <x:v>45.3</x:v>
      </x:c>
      <x:c r="F32" s="14" t="n">
        <x:v>17867</x:v>
      </x:c>
      <x:c r="G32" s="22" t="n">
        <x:v>132.8</x:v>
      </x:c>
      <x:c r="H32" s="24" t="n">
        <x:v>121.7</x:v>
      </x:c>
      <x:c r="I32" s="14" t="n">
        <x:v>4.1</x:v>
      </x:c>
      <x:c r="J32" s="14" t="n">
        <x:v>3.8</x:v>
      </x:c>
      <x:c r="K32" s="14" t="n">
        <x:v>1.09</x:v>
      </x:c>
    </x:row>
    <x:row r="33">
      <x:c r="A33" s="14" t="n">
        <x:v>2022</x:v>
      </x:c>
      <x:c r="B33" s="14" t="str">
        <x:v>Sweden</x:v>
      </x:c>
      <x:c r="C33" s="14" t="n">
        <x:v>155564</x:v>
      </x:c>
      <x:c r="D33" s="14" t="n">
        <x:v>303268</x:v>
      </x:c>
      <x:c r="E33" s="22" t="n">
        <x:v>51.3</x:v>
      </x:c>
      <x:c r="F33" s="14" t="n">
        <x:v>22125</x:v>
      </x:c>
      <x:c r="G33" s="22" t="n">
        <x:v>142.2</x:v>
      </x:c>
      <x:c r="H33" s="24" t="n">
        <x:v>142</x:v>
      </x:c>
      <x:c r="I33" s="14" t="n">
        <x:v>4.1</x:v>
      </x:c>
      <x:c r="J33" s="14" t="n">
        <x:v>3.8</x:v>
      </x:c>
      <x:c r="K33" s="14" t="n">
        <x:v>1.09</x:v>
      </x:c>
    </x:row>
    <x:row r="34">
      <x:c r="A34" s="14" t="n">
        <x:v>2023</x:v>
      </x:c>
      <x:c r="B34" s="14" t="str">
        <x:v>Sweden</x:v>
      </x:c>
      <x:c r="C34" s="14" t="n">
        <x:v>160516</x:v>
      </x:c>
      <x:c r="D34" s="14" t="n">
        <x:v>313513</x:v>
      </x:c>
      <x:c r="E34" s="22" t="n">
        <x:v>51.2</x:v>
      </x:c>
      <x:c r="F34" s="14" t="n">
        <x:v>25729</x:v>
      </x:c>
      <x:c r="G34" s="22" t="n">
        <x:v>160.3</x:v>
      </x:c>
      <x:c r="H34" s="24" t="n">
        <x:v>149.1</x:v>
      </x:c>
      <x:c r="I34" s="14" t="n">
        <x:v>4.1</x:v>
      </x:c>
      <x:c r="J34" s="14" t="n">
        <x:v>3.8</x:v>
      </x:c>
      <x:c r="K34" s="14" t="n">
        <x:v>1.09</x:v>
      </x:c>
    </x:row>
    <x:row r="35">
      <x:c r="A35" s="14" t="n">
        <x:v>2024</x:v>
      </x:c>
      <x:c r="B35" s="14" t="str">
        <x:v>Sweden</x:v>
      </x:c>
      <x:c r="C35" s="14" t="n">
        <x:v>175521</x:v>
      </x:c>
      <x:c r="D35" s="14" t="n">
        <x:v>309006</x:v>
      </x:c>
      <x:c r="E35" s="22" t="n">
        <x:v>56.8</x:v>
      </x:c>
      <x:c r="F35" s="14" t="n">
        <x:v>32195</x:v>
      </x:c>
      <x:c r="G35" s="22" t="n">
        <x:v>183.4</x:v>
      </x:c>
      <x:c r="H35" s="24" t="n">
        <x:v>166.7</x:v>
      </x:c>
      <x:c r="I35" s="14" t="n">
        <x:v>4.1</x:v>
      </x:c>
      <x:c r="J35" s="14" t="n">
        <x:v>3.8</x:v>
      </x:c>
      <x:c r="K35" s="14" t="n">
        <x:v>1.09</x:v>
      </x:c>
    </x:row>
    <x:row r="36">
      <x:c r="A36" s="14" t="n">
        <x:v>2025</x:v>
      </x:c>
      <x:c r="B36" s="14" t="str">
        <x:v>Sweden</x:v>
      </x:c>
      <x:c r="C36" s="14" t="n">
        <x:v>193729</x:v>
      </x:c>
      <x:c r="D36" s="14" t="n">
        <x:v>308939</x:v>
      </x:c>
      <x:c r="E36" s="22" t="n">
        <x:v>62.7</x:v>
      </x:c>
      <x:c r="F36" s="14" t="n">
        <x:v>40473</x:v>
      </x:c>
      <x:c r="G36" s="22" t="n">
        <x:v>208.9</x:v>
      </x:c>
      <x:c r="H36" s="24" t="n">
        <x:v>188.5</x:v>
      </x:c>
      <x:c r="I36" s="14" t="n">
        <x:v>4.1</x:v>
      </x:c>
      <x:c r="J36" s="14" t="n">
        <x:v>3.8</x:v>
      </x:c>
      <x:c r="K36" s="14" t="n">
        <x:v>1.09</x:v>
      </x:c>
    </x:row>
    <x:row r="37">
      <x:c r="A37" s="14" t="n">
        <x:v>2026</x:v>
      </x:c>
      <x:c r="B37" s="14" t="str">
        <x:v>Sweden</x:v>
      </x:c>
      <x:c r="C37" s="14" t="n">
        <x:v>221129</x:v>
      </x:c>
      <x:c r="D37" s="14" t="n">
        <x:v>305430</x:v>
      </x:c>
      <x:c r="E37" s="22" t="n">
        <x:v>72.4</x:v>
      </x:c>
      <x:c r="F37" s="14" t="n">
        <x:v>49382</x:v>
      </x:c>
      <x:c r="G37" s="22" t="n">
        <x:v>223.3</x:v>
      </x:c>
      <x:c r="H37" s="24" t="n">
        <x:v>218</x:v>
      </x:c>
      <x:c r="I37" s="14" t="n">
        <x:v>4.1</x:v>
      </x:c>
      <x:c r="J37" s="14" t="n">
        <x:v>3.8</x:v>
      </x:c>
      <x:c r="K37" s="14" t="n">
        <x:v>1.09</x:v>
      </x:c>
    </x:row>
    <x:row r="38">
      <x:c r="A38" s="14" t="n">
        <x:v>2021</x:v>
      </x:c>
      <x:c r="B38" s="14" t="str">
        <x:v>Italy</x:v>
      </x:c>
      <x:c r="C38" s="14" t="n">
        <x:v>130917</x:v>
      </x:c>
      <x:c r="D38" s="14" t="n">
        <x:v>1441947</x:v>
      </x:c>
      <x:c r="E38" s="22" t="n">
        <x:v>9.1</x:v>
      </x:c>
      <x:c r="F38" s="14" t="n">
        <x:v>21561</x:v>
      </x:c>
      <x:c r="G38" s="22" t="n">
        <x:v>164.7</x:v>
      </x:c>
      <x:c r="H38" s="24" t="n">
        <x:v>108</x:v>
      </x:c>
      <x:c r="I38" s="14" t="n">
        <x:v>3.8</x:v>
      </x:c>
      <x:c r="J38" s="14" t="n">
        <x:v>3.2</x:v>
      </x:c>
      <x:c r="K38" s="14" t="n">
        <x:v>0.94</x:v>
      </x:c>
    </x:row>
    <x:row r="39">
      <x:c r="A39" s="14" t="n">
        <x:v>2022</x:v>
      </x:c>
      <x:c r="B39" s="14" t="str">
        <x:v>Italy</x:v>
      </x:c>
      <x:c r="C39" s="14" t="n">
        <x:v>163327</x:v>
      </x:c>
      <x:c r="D39" s="14" t="n">
        <x:v>1480874</x:v>
      </x:c>
      <x:c r="E39" s="22" t="n">
        <x:v>11</x:v>
      </x:c>
      <x:c r="F39" s="14" t="n">
        <x:v>28056</x:v>
      </x:c>
      <x:c r="G39" s="22" t="n">
        <x:v>171.8</x:v>
      </x:c>
      <x:c r="H39" s="24" t="n">
        <x:v>135.8</x:v>
      </x:c>
      <x:c r="I39" s="14" t="n">
        <x:v>3.8</x:v>
      </x:c>
      <x:c r="J39" s="14" t="n">
        <x:v>3.2</x:v>
      </x:c>
      <x:c r="K39" s="14" t="n">
        <x:v>0.94</x:v>
      </x:c>
    </x:row>
    <x:row r="40">
      <x:c r="A40" s="14" t="n">
        <x:v>2023</x:v>
      </x:c>
      <x:c r="B40" s="14" t="str">
        <x:v>Italy</x:v>
      </x:c>
      <x:c r="C40" s="14" t="n">
        <x:v>194553</x:v>
      </x:c>
      <x:c r="D40" s="14" t="n">
        <x:v>1498273</x:v>
      </x:c>
      <x:c r="E40" s="22" t="n">
        <x:v>13</x:v>
      </x:c>
      <x:c r="F40" s="14" t="n">
        <x:v>36805</x:v>
      </x:c>
      <x:c r="G40" s="22" t="n">
        <x:v>189.2</x:v>
      </x:c>
      <x:c r="H40" s="24" t="n">
        <x:v>164.8</x:v>
      </x:c>
      <x:c r="I40" s="14" t="n">
        <x:v>3.8</x:v>
      </x:c>
      <x:c r="J40" s="14" t="n">
        <x:v>3.2</x:v>
      </x:c>
      <x:c r="K40" s="14" t="n">
        <x:v>0.94</x:v>
      </x:c>
    </x:row>
    <x:row r="41">
      <x:c r="A41" s="14" t="n">
        <x:v>2024</x:v>
      </x:c>
      <x:c r="B41" s="14" t="str">
        <x:v>Italy</x:v>
      </x:c>
      <x:c r="C41" s="14" t="n">
        <x:v>231461</x:v>
      </x:c>
      <x:c r="D41" s="14" t="n">
        <x:v>1536697</x:v>
      </x:c>
      <x:c r="E41" s="22" t="n">
        <x:v>15.1</x:v>
      </x:c>
      <x:c r="F41" s="14" t="n">
        <x:v>47361</x:v>
      </x:c>
      <x:c r="G41" s="22" t="n">
        <x:v>204.6</x:v>
      </x:c>
      <x:c r="H41" s="24" t="n">
        <x:v>199.3</x:v>
      </x:c>
      <x:c r="I41" s="14" t="n">
        <x:v>3.8</x:v>
      </x:c>
      <x:c r="J41" s="14" t="n">
        <x:v>3.2</x:v>
      </x:c>
      <x:c r="K41" s="14" t="n">
        <x:v>0.94</x:v>
      </x:c>
    </x:row>
    <x:row r="42">
      <x:c r="A42" s="14" t="n">
        <x:v>2025</x:v>
      </x:c>
      <x:c r="B42" s="14" t="str">
        <x:v>Italy</x:v>
      </x:c>
      <x:c r="C42" s="14" t="n">
        <x:v>271203</x:v>
      </x:c>
      <x:c r="D42" s="14" t="n">
        <x:v>1598991</x:v>
      </x:c>
      <x:c r="E42" s="22" t="n">
        <x:v>17</x:v>
      </x:c>
      <x:c r="F42" s="14" t="n">
        <x:v>60236</x:v>
      </x:c>
      <x:c r="G42" s="22" t="n">
        <x:v>222.1</x:v>
      </x:c>
      <x:c r="H42" s="24" t="n">
        <x:v>237.8</x:v>
      </x:c>
      <x:c r="I42" s="14" t="n">
        <x:v>3.8</x:v>
      </x:c>
      <x:c r="J42" s="14" t="n">
        <x:v>3.2</x:v>
      </x:c>
      <x:c r="K42" s="14" t="n">
        <x:v>0.94</x:v>
      </x:c>
    </x:row>
    <x:row r="43">
      <x:c r="A43" s="14" t="n">
        <x:v>2026</x:v>
      </x:c>
      <x:c r="B43" s="14" t="str">
        <x:v>Italy</x:v>
      </x:c>
      <x:c r="C43" s="14" t="n">
        <x:v>338425</x:v>
      </x:c>
      <x:c r="D43" s="14" t="n">
        <x:v>1594198</x:v>
      </x:c>
      <x:c r="E43" s="22" t="n">
        <x:v>21.2</x:v>
      </x:c>
      <x:c r="F43" s="14" t="n">
        <x:v>80528</x:v>
      </x:c>
      <x:c r="G43" s="22" t="n">
        <x:v>237.9</x:v>
      </x:c>
      <x:c r="H43" s="24" t="n">
        <x:v>301.5</x:v>
      </x:c>
      <x:c r="I43" s="14" t="n">
        <x:v>3.8</x:v>
      </x:c>
      <x:c r="J43" s="14" t="n">
        <x:v>3.2</x:v>
      </x:c>
      <x:c r="K43" s="14" t="n">
        <x:v>0.94</x:v>
      </x:c>
    </x:row>
    <x:row r="44">
      <x:c r="A44" s="14" t="n">
        <x:v>2021</x:v>
      </x:c>
      <x:c r="B44" s="14" t="str">
        <x:v>Spain</x:v>
      </x:c>
      <x:c r="C44" s="14" t="n">
        <x:v>76434</x:v>
      </x:c>
      <x:c r="D44" s="14" t="n">
        <x:v>858685</x:v>
      </x:c>
      <x:c r="E44" s="22" t="n">
        <x:v>8.9</x:v>
      </x:c>
      <x:c r="F44" s="14" t="n">
        <x:v>14834</x:v>
      </x:c>
      <x:c r="G44" s="22" t="n">
        <x:v>194.1</x:v>
      </x:c>
      <x:c r="H44" s="24" t="n">
        <x:v>64</x:v>
      </x:c>
      <x:c r="I44" s="14" t="n">
        <x:v>3.9</x:v>
      </x:c>
      <x:c r="J44" s="14" t="n">
        <x:v>3</x:v>
      </x:c>
      <x:c r="K44" s="14" t="n">
        <x:v>0.92</x:v>
      </x:c>
    </x:row>
    <x:row r="45">
      <x:c r="A45" s="14" t="n">
        <x:v>2022</x:v>
      </x:c>
      <x:c r="B45" s="14" t="str">
        <x:v>Spain</x:v>
      </x:c>
      <x:c r="C45" s="14" t="n">
        <x:v>101826</x:v>
      </x:c>
      <x:c r="D45" s="14" t="n">
        <x:v>874497</x:v>
      </x:c>
      <x:c r="E45" s="22" t="n">
        <x:v>11.6</x:v>
      </x:c>
      <x:c r="F45" s="14" t="n">
        <x:v>19809</x:v>
      </x:c>
      <x:c r="G45" s="22" t="n">
        <x:v>194.5</x:v>
      </x:c>
      <x:c r="H45" s="24" t="n">
        <x:v>85.3</x:v>
      </x:c>
      <x:c r="I45" s="14" t="n">
        <x:v>3.9</x:v>
      </x:c>
      <x:c r="J45" s="14" t="n">
        <x:v>3</x:v>
      </x:c>
      <x:c r="K45" s="14" t="n">
        <x:v>0.92</x:v>
      </x:c>
    </x:row>
    <x:row r="46">
      <x:c r="A46" s="14" t="n">
        <x:v>2023</x:v>
      </x:c>
      <x:c r="B46" s="14" t="str">
        <x:v>Spain</x:v>
      </x:c>
      <x:c r="C46" s="14" t="n">
        <x:v>119314</x:v>
      </x:c>
      <x:c r="D46" s="14" t="n">
        <x:v>912849</x:v>
      </x:c>
      <x:c r="E46" s="22" t="n">
        <x:v>13.1</x:v>
      </x:c>
      <x:c r="F46" s="14" t="n">
        <x:v>27648</x:v>
      </x:c>
      <x:c r="G46" s="22" t="n">
        <x:v>231.7</x:v>
      </x:c>
      <x:c r="H46" s="24" t="n">
        <x:v>103.9</x:v>
      </x:c>
      <x:c r="I46" s="14" t="n">
        <x:v>3.9</x:v>
      </x:c>
      <x:c r="J46" s="14" t="n">
        <x:v>3</x:v>
      </x:c>
      <x:c r="K46" s="14" t="n">
        <x:v>0.92</x:v>
      </x:c>
    </x:row>
    <x:row r="47">
      <x:c r="A47" s="14" t="n">
        <x:v>2024</x:v>
      </x:c>
      <x:c r="B47" s="14" t="str">
        <x:v>Spain</x:v>
      </x:c>
      <x:c r="C47" s="14" t="n">
        <x:v>151198</x:v>
      </x:c>
      <x:c r="D47" s="14" t="n">
        <x:v>943463</x:v>
      </x:c>
      <x:c r="E47" s="22" t="n">
        <x:v>16</x:v>
      </x:c>
      <x:c r="F47" s="14" t="n">
        <x:v>37102</x:v>
      </x:c>
      <x:c r="G47" s="22" t="n">
        <x:v>245.4</x:v>
      </x:c>
      <x:c r="H47" s="24" t="n">
        <x:v>133.5</x:v>
      </x:c>
      <x:c r="I47" s="14" t="n">
        <x:v>3.9</x:v>
      </x:c>
      <x:c r="J47" s="14" t="n">
        <x:v>3</x:v>
      </x:c>
      <x:c r="K47" s="14" t="n">
        <x:v>0.92</x:v>
      </x:c>
    </x:row>
    <x:row r="48">
      <x:c r="A48" s="14" t="n">
        <x:v>2025</x:v>
      </x:c>
      <x:c r="B48" s="14" t="str">
        <x:v>Spain</x:v>
      </x:c>
      <x:c r="C48" s="14" t="n">
        <x:v>187745</x:v>
      </x:c>
      <x:c r="D48" s="14" t="n">
        <x:v>954069</x:v>
      </x:c>
      <x:c r="E48" s="22" t="n">
        <x:v>19.7</x:v>
      </x:c>
      <x:c r="F48" s="14" t="n">
        <x:v>48725</x:v>
      </x:c>
      <x:c r="G48" s="22" t="n">
        <x:v>259.5</x:v>
      </x:c>
      <x:c r="H48" s="24" t="n">
        <x:v>168.2</x:v>
      </x:c>
      <x:c r="I48" s="14" t="n">
        <x:v>3.9</x:v>
      </x:c>
      <x:c r="J48" s="14" t="n">
        <x:v>3</x:v>
      </x:c>
      <x:c r="K48" s="14" t="n">
        <x:v>0.92</x:v>
      </x:c>
    </x:row>
    <x:row r="49">
      <x:c r="A49" s="14" t="n">
        <x:v>2026</x:v>
      </x:c>
      <x:c r="B49" s="14" t="str">
        <x:v>Spain</x:v>
      </x:c>
      <x:c r="C49" s="14" t="n">
        <x:v>235119</x:v>
      </x:c>
      <x:c r="D49" s="14" t="n">
        <x:v>958675</x:v>
      </x:c>
      <x:c r="E49" s="22" t="n">
        <x:v>24.5</x:v>
      </x:c>
      <x:c r="F49" s="14" t="n">
        <x:v>68035</x:v>
      </x:c>
      <x:c r="G49" s="22" t="n">
        <x:v>289.4</x:v>
      </x:c>
      <x:c r="H49" s="24" t="n">
        <x:v>217</x:v>
      </x:c>
      <x:c r="I49" s="14" t="n">
        <x:v>3.9</x:v>
      </x:c>
      <x:c r="J49" s="14" t="n">
        <x:v>3</x:v>
      </x:c>
      <x:c r="K49" s="14" t="n">
        <x:v>0.92</x:v>
      </x:c>
    </x:row>
  </x:sheetData>
  <x:pageMargins left="0.7" right="0.7" top="0.75" bottom="0.75" header="0.3" footer="0.3"/>
  <x:tableParts count="1">
    <x:tablePart xmlns:r="http://schemas.openxmlformats.org/officeDocument/2006/relationships" r:id="Rf9352a96f40c48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6" hidden="0" customWidth="1"/>
    <x:col min="7" max="7" width="25" hidden="0" customWidth="1"/>
    <x:col min="8" max="8" width="20" hidden="0" customWidth="1"/>
    <x:col min="9" max="9" width="24" hidden="0" customWidth="1"/>
    <x:col min="10" max="10" width="18" hidden="0" customWidth="1"/>
    <x:col min="11" max="11" width="16" hidden="0" customWidth="1"/>
    <x:col min="12" max="12" width="18" hidden="0" customWidth="1"/>
    <x:col min="13" max="13" width="20" hidden="0" customWidth="1"/>
    <x:col min="14" max="14" width="22" hidden="0" customWidth="1"/>
    <x:col min="15" max="15" width="28" hidden="0" customWidth="1"/>
    <x:col min="16" max="16" width="20" hidden="0" customWidth="1"/>
    <x:col min="17" max="17" width="20" hidden="0" customWidth="1"/>
  </x:cols>
  <x:sheetData>
    <x:row r="1">
      <x:c r="A1" s="18" t="str">
        <x:v>Country</x:v>
      </x:c>
      <x:c r="B1" s="18" t="str">
        <x:v>EV_Registrations_2026</x:v>
      </x:c>
      <x:c r="C1" s="18" t="str">
        <x:v>EV_Share_2026_Percent</x:v>
      </x:c>
      <x:c r="D1" s="18" t="str">
        <x:v>Public_Chargers_2026</x:v>
      </x:c>
      <x:c r="E1" s="18" t="str">
        <x:v>Charging_Density_per_1000_EV</x:v>
      </x:c>
      <x:c r="F1" s="18" t="str">
        <x:v>Addressable_Market_2026_EUR_mn</x:v>
      </x:c>
      <x:c r="G1" s="18" t="str">
        <x:v>Market_CAGR_2021_2026_Percent</x:v>
      </x:c>
      <x:c r="H1" s="18" t="str">
        <x:v>Commercial_Ease_1_5</x:v>
      </x:c>
      <x:c r="I1" s="18" t="str">
        <x:v>Competition_Intensity_1_5</x:v>
      </x:c>
      <x:c r="J1" s="18" t="str">
        <x:v>Market_Size_Score</x:v>
      </x:c>
      <x:c r="K1" s="18" t="str">
        <x:v>Growth_Score</x:v>
      </x:c>
      <x:c r="L1" s="18" t="str">
        <x:v>Adoption_Score</x:v>
      </x:c>
      <x:c r="M1" s="18" t="str">
        <x:v>Infrastructure_Score</x:v>
      </x:c>
      <x:c r="N1" s="18" t="str">
        <x:v>Commercial_Ease_Score</x:v>
      </x:c>
      <x:c r="O1" s="18" t="str">
        <x:v>Competition_Advantage_Score</x:v>
      </x:c>
      <x:c r="P1" s="18" t="str">
        <x:v>Attractiveness_Score</x:v>
      </x:c>
      <x:c r="Q1" s="18" t="str">
        <x:v>Priority_Tier</x:v>
      </x:c>
    </x:row>
    <x:row r="2">
      <x:c r="A2" s="14" t="str">
        <x:v>United Kingdom</x:v>
      </x:c>
      <x:c r="B2" s="14" t="n">
        <x:v>681190</x:v>
      </x:c>
      <x:c r="C2" s="14" t="n">
        <x:v>35.4</x:v>
      </x:c>
      <x:c r="D2" s="14" t="n">
        <x:v>121603</x:v>
      </x:c>
      <x:c r="E2" s="14" t="n">
        <x:v>178.5</x:v>
      </x:c>
      <x:c r="F2" s="14" t="n">
        <x:v>648.9</x:v>
      </x:c>
      <x:c r="G2" s="14" t="n">
        <x:v>19.3</x:v>
      </x:c>
      <x:c r="H2" s="14" t="n">
        <x:v>4.4</x:v>
      </x:c>
      <x:c r="I2" s="14" t="n">
        <x:v>4.2</x:v>
      </x:c>
      <x:c r="J2" s="14" t="n">
        <x:v>94.5</x:v>
      </x:c>
      <x:c r="K2" s="14" t="n">
        <x:v>62.2</x:v>
      </x:c>
      <x:c r="L2" s="14" t="n">
        <x:v>20.1</x:v>
      </x:c>
      <x:c r="M2" s="14" t="n">
        <x:v>0</x:v>
      </x:c>
      <x:c r="N2" s="14" t="n">
        <x:v>75</x:v>
      </x:c>
      <x:c r="O2" s="14" t="n">
        <x:v>25</x:v>
      </x:c>
      <x:c r="P2" s="22" t="n">
        <x:f>0.30*J2+0.20*K2+0.15*L2+0.10*M2+0.15*N2+0.10*O2</x:f>
        <x:v>57.555</x:v>
      </x:c>
      <x:c r="Q2" s="14" t="str">
        <x:f>IF(P2&gt;=50,"Tier 1 - Focus",IF(P2&gt;=30,"Tier 2 - Build","Tier 3 - Monitor"))</x:f>
        <x:v>Tier 1 - Focus</x:v>
      </x:c>
    </x:row>
    <x:row r="3">
      <x:c r="A3" s="14" t="str">
        <x:v>Germany</x:v>
      </x:c>
      <x:c r="B3" s="14" t="n">
        <x:v>675865</x:v>
      </x:c>
      <x:c r="C3" s="14" t="n">
        <x:v>23.9</x:v>
      </x:c>
      <x:c r="D3" s="14" t="n">
        <x:v>167941</x:v>
      </x:c>
      <x:c r="E3" s="14" t="n">
        <x:v>248.5</x:v>
      </x:c>
      <x:c r="F3" s="14" t="n">
        <x:v>676.7</x:v>
      </x:c>
      <x:c r="G3" s="14" t="n">
        <x:v>16.4</x:v>
      </x:c>
      <x:c r="H3" s="14" t="n">
        <x:v>4.6</x:v>
      </x:c>
      <x:c r="I3" s="14" t="n">
        <x:v>4.5</x:v>
      </x:c>
      <x:c r="J3" s="14" t="n">
        <x:v>100</x:v>
      </x:c>
      <x:c r="K3" s="14" t="n">
        <x:v>49</x:v>
      </x:c>
      <x:c r="L3" s="14" t="n">
        <x:v>3.8</x:v>
      </x:c>
      <x:c r="M3" s="14" t="n">
        <x:v>7.6</x:v>
      </x:c>
      <x:c r="N3" s="14" t="n">
        <x:v>100</x:v>
      </x:c>
      <x:c r="O3" s="14" t="n">
        <x:v>6.2</x:v>
      </x:c>
      <x:c r="P3" s="22" t="n">
        <x:f>0.30*J3+0.20*K3+0.15*L3+0.10*M3+0.15*N3+0.10*O3</x:f>
        <x:v>56.74999999999999</x:v>
      </x:c>
      <x:c r="Q3" s="14" t="str">
        <x:f>IF(P3&gt;=50,"Tier 1 - Focus",IF(P3&gt;=30,"Tier 2 - Build","Tier 3 - Monitor"))</x:f>
        <x:v>Tier 1 - Focus</x:v>
      </x:c>
    </x:row>
    <x:row r="4">
      <x:c r="A4" s="14" t="str">
        <x:v>France</x:v>
      </x:c>
      <x:c r="B4" s="14" t="n">
        <x:v>602578</x:v>
      </x:c>
      <x:c r="C4" s="14" t="n">
        <x:v>33</x:v>
      </x:c>
      <x:c r="D4" s="14" t="n">
        <x:v>193682</x:v>
      </x:c>
      <x:c r="E4" s="14" t="n">
        <x:v>321.4</x:v>
      </x:c>
      <x:c r="F4" s="14" t="n">
        <x:v>625.5</x:v>
      </x:c>
      <x:c r="G4" s="14" t="n">
        <x:v>18.7</x:v>
      </x:c>
      <x:c r="H4" s="14" t="n">
        <x:v>4.2</x:v>
      </x:c>
      <x:c r="I4" s="14" t="n">
        <x:v>4</x:v>
      </x:c>
      <x:c r="J4" s="14" t="n">
        <x:v>89.9</x:v>
      </x:c>
      <x:c r="K4" s="14" t="n">
        <x:v>59.3</x:v>
      </x:c>
      <x:c r="L4" s="14" t="n">
        <x:v>16.7</x:v>
      </x:c>
      <x:c r="M4" s="14" t="n">
        <x:v>15.6</x:v>
      </x:c>
      <x:c r="N4" s="14" t="n">
        <x:v>50</x:v>
      </x:c>
      <x:c r="O4" s="14" t="n">
        <x:v>37.5</x:v>
      </x:c>
      <x:c r="P4" s="22" t="n">
        <x:f>0.30*J4+0.20*K4+0.15*L4+0.10*M4+0.15*N4+0.10*O4</x:f>
        <x:v>54.145</x:v>
      </x:c>
      <x:c r="Q4" s="14" t="str">
        <x:f>IF(P4&gt;=50,"Tier 1 - Focus",IF(P4&gt;=30,"Tier 2 - Build","Tier 3 - Monitor"))</x:f>
        <x:v>Tier 1 - Focus</x:v>
      </x:c>
    </x:row>
    <x:row r="5">
      <x:c r="A5" s="14" t="str">
        <x:v>Netherlands</x:v>
      </x:c>
      <x:c r="B5" s="14" t="n">
        <x:v>178506</x:v>
      </x:c>
      <x:c r="C5" s="14" t="n">
        <x:v>52.4</x:v>
      </x:c>
      <x:c r="D5" s="14" t="n">
        <x:v>195568</x:v>
      </x:c>
      <x:c r="E5" s="14" t="n">
        <x:v>1095.6</x:v>
      </x:c>
      <x:c r="F5" s="14" t="n">
        <x:v>313.5</x:v>
      </x:c>
      <x:c r="G5" s="14" t="n">
        <x:v>15.7</x:v>
      </x:c>
      <x:c r="H5" s="14" t="n">
        <x:v>4.5</x:v>
      </x:c>
      <x:c r="I5" s="14" t="n">
        <x:v>4</x:v>
      </x:c>
      <x:c r="J5" s="14" t="n">
        <x:v>28.5</x:v>
      </x:c>
      <x:c r="K5" s="14" t="n">
        <x:v>46</x:v>
      </x:c>
      <x:c r="L5" s="14" t="n">
        <x:v>44.1</x:v>
      </x:c>
      <x:c r="M5" s="14" t="n">
        <x:v>100</x:v>
      </x:c>
      <x:c r="N5" s="14" t="n">
        <x:v>87.5</x:v>
      </x:c>
      <x:c r="O5" s="14" t="n">
        <x:v>37.5</x:v>
      </x:c>
      <x:c r="P5" s="22" t="n">
        <x:f>0.30*J5+0.20*K5+0.15*L5+0.10*M5+0.15*N5+0.10*O5</x:f>
        <x:v>51.24</x:v>
      </x:c>
      <x:c r="Q5" s="14" t="str">
        <x:f>IF(P5&gt;=50,"Tier 1 - Focus",IF(P5&gt;=30,"Tier 2 - Build","Tier 3 - Monitor"))</x:f>
        <x:v>Tier 1 - Focus</x:v>
      </x:c>
    </x:row>
    <x:row r="6">
      <x:c r="A6" s="14" t="str">
        <x:v>Spain</x:v>
      </x:c>
      <x:c r="B6" s="14" t="n">
        <x:v>235119</x:v>
      </x:c>
      <x:c r="C6" s="14" t="n">
        <x:v>24.5</x:v>
      </x:c>
      <x:c r="D6" s="14" t="n">
        <x:v>68035</x:v>
      </x:c>
      <x:c r="E6" s="14" t="n">
        <x:v>289.4</x:v>
      </x:c>
      <x:c r="F6" s="14" t="n">
        <x:v>217</x:v>
      </x:c>
      <x:c r="G6" s="14" t="n">
        <x:v>27.7</x:v>
      </x:c>
      <x:c r="H6" s="14" t="n">
        <x:v>3.9</x:v>
      </x:c>
      <x:c r="I6" s="14" t="n">
        <x:v>3</x:v>
      </x:c>
      <x:c r="J6" s="14" t="n">
        <x:v>9.5</x:v>
      </x:c>
      <x:c r="K6" s="14" t="n">
        <x:v>100</x:v>
      </x:c>
      <x:c r="L6" s="14" t="n">
        <x:v>4.7</x:v>
      </x:c>
      <x:c r="M6" s="14" t="n">
        <x:v>12.1</x:v>
      </x:c>
      <x:c r="N6" s="14" t="n">
        <x:v>12.5</x:v>
      </x:c>
      <x:c r="O6" s="14" t="n">
        <x:v>100</x:v>
      </x:c>
      <x:c r="P6" s="22" t="n">
        <x:f>0.30*J6+0.20*K6+0.15*L6+0.10*M6+0.15*N6+0.10*O6</x:f>
        <x:v>36.64</x:v>
      </x:c>
      <x:c r="Q6" s="14" t="str">
        <x:f>IF(P6&gt;=50,"Tier 1 - Focus",IF(P6&gt;=30,"Tier 2 - Build","Tier 3 - Monitor"))</x:f>
        <x:v>Tier 2 - Build</x:v>
      </x:c>
    </x:row>
    <x:row r="7">
      <x:c r="A7" s="14" t="str">
        <x:v>Italy</x:v>
      </x:c>
      <x:c r="B7" s="14" t="n">
        <x:v>338425</x:v>
      </x:c>
      <x:c r="C7" s="14" t="n">
        <x:v>21.2</x:v>
      </x:c>
      <x:c r="D7" s="14" t="n">
        <x:v>80528</x:v>
      </x:c>
      <x:c r="E7" s="14" t="n">
        <x:v>237.9</x:v>
      </x:c>
      <x:c r="F7" s="14" t="n">
        <x:v>301.5</x:v>
      </x:c>
      <x:c r="G7" s="14" t="n">
        <x:v>22.8</x:v>
      </x:c>
      <x:c r="H7" s="14" t="n">
        <x:v>3.8</x:v>
      </x:c>
      <x:c r="I7" s="14" t="n">
        <x:v>3.2</x:v>
      </x:c>
      <x:c r="J7" s="14" t="n">
        <x:v>26.1</x:v>
      </x:c>
      <x:c r="K7" s="14" t="n">
        <x:v>78</x:v>
      </x:c>
      <x:c r="L7" s="14" t="n">
        <x:v>0</x:v>
      </x:c>
      <x:c r="M7" s="14" t="n">
        <x:v>6.5</x:v>
      </x:c>
      <x:c r="N7" s="14" t="n">
        <x:v>0</x:v>
      </x:c>
      <x:c r="O7" s="14" t="n">
        <x:v>87.5</x:v>
      </x:c>
      <x:c r="P7" s="22" t="n">
        <x:f>0.30*J7+0.20*K7+0.15*L7+0.10*M7+0.15*N7+0.10*O7</x:f>
        <x:v>32.83</x:v>
      </x:c>
      <x:c r="Q7" s="14" t="str">
        <x:f>IF(P7&gt;=50,"Tier 1 - Focus",IF(P7&gt;=30,"Tier 2 - Build","Tier 3 - Monitor"))</x:f>
        <x:v>Tier 2 - Build</x:v>
      </x:c>
    </x:row>
    <x:row r="8">
      <x:c r="A8" s="14" t="str">
        <x:v>Sweden</x:v>
      </x:c>
      <x:c r="B8" s="14" t="n">
        <x:v>221129</x:v>
      </x:c>
      <x:c r="C8" s="14" t="n">
        <x:v>72.4</x:v>
      </x:c>
      <x:c r="D8" s="14" t="n">
        <x:v>49382</x:v>
      </x:c>
      <x:c r="E8" s="14" t="n">
        <x:v>223.3</x:v>
      </x:c>
      <x:c r="F8" s="14" t="n">
        <x:v>218</x:v>
      </x:c>
      <x:c r="G8" s="14" t="n">
        <x:v>12.4</x:v>
      </x:c>
      <x:c r="H8" s="14" t="n">
        <x:v>4.1</x:v>
      </x:c>
      <x:c r="I8" s="14" t="n">
        <x:v>3.8</x:v>
      </x:c>
      <x:c r="J8" s="14" t="n">
        <x:v>9.7</x:v>
      </x:c>
      <x:c r="K8" s="14" t="n">
        <x:v>30.9</x:v>
      </x:c>
      <x:c r="L8" s="14" t="n">
        <x:v>72.3</x:v>
      </x:c>
      <x:c r="M8" s="14" t="n">
        <x:v>4.9</x:v>
      </x:c>
      <x:c r="N8" s="14" t="n">
        <x:v>37.5</x:v>
      </x:c>
      <x:c r="O8" s="14" t="n">
        <x:v>50</x:v>
      </x:c>
      <x:c r="P8" s="22" t="n">
        <x:f>0.30*J8+0.20*K8+0.15*L8+0.10*M8+0.15*N8+0.10*O8</x:f>
        <x:v>31.049999999999997</x:v>
      </x:c>
      <x:c r="Q8" s="14" t="str">
        <x:f>IF(P8&gt;=50,"Tier 1 - Focus",IF(P8&gt;=30,"Tier 2 - Build","Tier 3 - Monitor"))</x:f>
        <x:v>Tier 2 - Build</x:v>
      </x:c>
    </x:row>
    <x:row r="9">
      <x:c r="A9" s="14" t="str">
        <x:v>Norway</x:v>
      </x:c>
      <x:c r="B9" s="14" t="n">
        <x:v>162592</x:v>
      </x:c>
      <x:c r="C9" s="14" t="n">
        <x:v>92</x:v>
      </x:c>
      <x:c r="D9" s="14" t="n">
        <x:v>39379</x:v>
      </x:c>
      <x:c r="E9" s="14" t="n">
        <x:v>242.2</x:v>
      </x:c>
      <x:c r="F9" s="14" t="n">
        <x:v>168.9</x:v>
      </x:c>
      <x:c r="G9" s="14" t="n">
        <x:v>5.5</x:v>
      </x:c>
      <x:c r="H9" s="14" t="n">
        <x:v>4</x:v>
      </x:c>
      <x:c r="I9" s="14" t="n">
        <x:v>4.6</x:v>
      </x:c>
      <x:c r="J9" s="14" t="n">
        <x:v>0</x:v>
      </x:c>
      <x:c r="K9" s="14" t="n">
        <x:v>0</x:v>
      </x:c>
      <x:c r="L9" s="14" t="n">
        <x:v>100</x:v>
      </x:c>
      <x:c r="M9" s="14" t="n">
        <x:v>6.9</x:v>
      </x:c>
      <x:c r="N9" s="14" t="n">
        <x:v>25</x:v>
      </x:c>
      <x:c r="O9" s="14" t="n">
        <x:v>0</x:v>
      </x:c>
      <x:c r="P9" s="22" t="n">
        <x:f>0.30*J9+0.20*K9+0.15*L9+0.10*M9+0.15*N9+0.10*O9</x:f>
        <x:v>19.439999999999998</x:v>
      </x:c>
      <x:c r="Q9" s="14" t="str">
        <x:f>IF(P9&gt;=50,"Tier 1 - Focus",IF(P9&gt;=30,"Tier 2 - Build","Tier 3 - Monitor"))</x:f>
        <x:v>Tier 3 - Monitor</x:v>
      </x:c>
    </x:row>
  </x:sheetData>
  <x:conditionalFormatting sqref="P2:P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9">
    <x:cfRule type="expression" dxfId="0" priority="2">
      <x:formula>LEFT(Q2,6)="Tier 1"</x:formula>
    </x:cfRule>
    <x:cfRule type="expression" dxfId="1" priority="3">
      <x:formula>LEFT(Q2,6)="Tier 2"</x:formula>
    </x:cfRule>
    <x:cfRule type="expression" dxfId="2" priority="4">
      <x:formula>LEFT(Q2,6)="Tier 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98bdedb13341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20" hidden="0" customWidth="1"/>
    <x:col min="5" max="5" width="28" hidden="0" customWidth="1"/>
    <x:col min="6" max="6" width="22" hidden="0" customWidth="1"/>
    <x:col min="7" max="7" width="20" hidden="0" customWidth="1"/>
    <x:col min="8" max="8" width="28" hidden="0" customWidth="1"/>
    <x:col min="9" max="9" width="52" hidden="0" customWidth="1"/>
  </x:cols>
  <x:sheetData>
    <x:row r="1">
      <x:c r="A1" s="18" t="str">
        <x:v>Competitor</x:v>
      </x:c>
      <x:c r="B1" s="18" t="str">
        <x:v>HQ_Country</x:v>
      </x:c>
      <x:c r="C1" s="18" t="str">
        <x:v>Primary_Positioning</x:v>
      </x:c>
      <x:c r="D1" s="18" t="str">
        <x:v>Product_Breadth_1_5</x:v>
      </x:c>
      <x:c r="E1" s="18" t="str">
        <x:v>Technical_Differentiation_1_5</x:v>
      </x:c>
      <x:c r="F1" s="18" t="str">
        <x:v>Customer_Coverage_1_5</x:v>
      </x:c>
      <x:c r="G1" s="18" t="str">
        <x:v>Price_Index_vs_Market</x:v>
      </x:c>
      <x:c r="H1" s="18" t="str">
        <x:v>Estimated_Regional_Share_Percent</x:v>
      </x:c>
      <x:c r="I1" s="18" t="str">
        <x:v>Strategic_Note</x:v>
      </x:c>
    </x:row>
    <x:row r="2">
      <x:c r="A2" s="14" t="str">
        <x:v>VoltEdge Systems</x:v>
      </x:c>
      <x:c r="B2" s="14" t="str">
        <x:v>Germany</x:v>
      </x:c>
      <x:c r="C2" s="14" t="str">
        <x:v>Premium power electronics</x:v>
      </x:c>
      <x:c r="D2" s="14" t="n">
        <x:v>5</x:v>
      </x:c>
      <x:c r="E2" s="14" t="n">
        <x:v>5</x:v>
      </x:c>
      <x:c r="F2" s="14" t="n">
        <x:v>5</x:v>
      </x:c>
      <x:c r="G2" s="14" t="n">
        <x:v>1.18</x:v>
      </x:c>
      <x:c r="H2" s="14" t="n">
        <x:v>18</x:v>
      </x:c>
      <x:c r="I2" s="14" t="str">
        <x:v>Strong OEM relationships and broad product portfolio.</x:v>
      </x:c>
    </x:row>
    <x:row r="3">
      <x:c r="A3" s="14" t="str">
        <x:v>MotionCore Technologies</x:v>
      </x:c>
      <x:c r="B3" s="14" t="str">
        <x:v>France</x:v>
      </x:c>
      <x:c r="C3" s="14" t="str">
        <x:v>Integrated charging controls</x:v>
      </x:c>
      <x:c r="D3" s="14" t="n">
        <x:v>4</x:v>
      </x:c>
      <x:c r="E3" s="14" t="n">
        <x:v>4</x:v>
      </x:c>
      <x:c r="F3" s="14" t="n">
        <x:v>4</x:v>
      </x:c>
      <x:c r="G3" s="14" t="n">
        <x:v>1.05</x:v>
      </x:c>
      <x:c r="H3" s="14" t="n">
        <x:v>13</x:v>
      </x:c>
      <x:c r="I3" s="14" t="str">
        <x:v>Balanced product and pricing position.</x:v>
      </x:c>
    </x:row>
    <x:row r="4">
      <x:c r="A4" s="14" t="str">
        <x:v>NexaDrive Components</x:v>
      </x:c>
      <x:c r="B4" s="14" t="str">
        <x:v>United Kingdom</x:v>
      </x:c>
      <x:c r="C4" s="14" t="str">
        <x:v>Software-led power management</x:v>
      </x:c>
      <x:c r="D4" s="14" t="n">
        <x:v>3</x:v>
      </x:c>
      <x:c r="E4" s="14" t="n">
        <x:v>5</x:v>
      </x:c>
      <x:c r="F4" s="14" t="n">
        <x:v>4</x:v>
      </x:c>
      <x:c r="G4" s="14" t="n">
        <x:v>1.12</x:v>
      </x:c>
      <x:c r="H4" s="14" t="n">
        <x:v>10</x:v>
      </x:c>
      <x:c r="I4" s="14" t="str">
        <x:v>Strong differentiation but narrower hardware range.</x:v>
      </x:c>
    </x:row>
    <x:row r="5">
      <x:c r="A5" s="14" t="str">
        <x:v>E-Motive Solutions</x:v>
      </x:c>
      <x:c r="B5" s="14" t="str">
        <x:v>Netherlands</x:v>
      </x:c>
      <x:c r="C5" s="14" t="str">
        <x:v>Charging and connectivity</x:v>
      </x:c>
      <x:c r="D5" s="14" t="n">
        <x:v>4</x:v>
      </x:c>
      <x:c r="E5" s="14" t="n">
        <x:v>4</x:v>
      </x:c>
      <x:c r="F5" s="14" t="n">
        <x:v>3</x:v>
      </x:c>
      <x:c r="G5" s="14" t="n">
        <x:v>1</x:v>
      </x:c>
      <x:c r="H5" s="14" t="n">
        <x:v>9</x:v>
      </x:c>
      <x:c r="I5" s="14" t="str">
        <x:v>Good ecosystem partnerships in Benelux.</x:v>
      </x:c>
    </x:row>
    <x:row r="6">
      <x:c r="A6" s="14" t="str">
        <x:v>ArcFlux Mobility</x:v>
      </x:c>
      <x:c r="B6" s="14" t="str">
        <x:v>Sweden</x:v>
      </x:c>
      <x:c r="C6" s="14" t="str">
        <x:v>High-efficiency modules</x:v>
      </x:c>
      <x:c r="D6" s="14" t="n">
        <x:v>3</x:v>
      </x:c>
      <x:c r="E6" s="14" t="n">
        <x:v>5</x:v>
      </x:c>
      <x:c r="F6" s="14" t="n">
        <x:v>3</x:v>
      </x:c>
      <x:c r="G6" s="14" t="n">
        <x:v>1.16</x:v>
      </x:c>
      <x:c r="H6" s="14" t="n">
        <x:v>8</x:v>
      </x:c>
      <x:c r="I6" s="14" t="str">
        <x:v>Technically strong, premium pricing.</x:v>
      </x:c>
    </x:row>
    <x:row r="7">
      <x:c r="A7" s="14" t="str">
        <x:v>VectorCharge</x:v>
      </x:c>
      <x:c r="B7" s="14" t="str">
        <x:v>Italy</x:v>
      </x:c>
      <x:c r="C7" s="14" t="str">
        <x:v>Cost-efficient charging modules</x:v>
      </x:c>
      <x:c r="D7" s="14" t="n">
        <x:v>3</x:v>
      </x:c>
      <x:c r="E7" s="14" t="n">
        <x:v>3</x:v>
      </x:c>
      <x:c r="F7" s="14" t="n">
        <x:v>4</x:v>
      </x:c>
      <x:c r="G7" s="14" t="n">
        <x:v>0.88</x:v>
      </x:c>
      <x:c r="H7" s="14" t="n">
        <x:v>11</x:v>
      </x:c>
      <x:c r="I7" s="14" t="str">
        <x:v>Competitive pricing and growing southern-European coverage.</x:v>
      </x:c>
    </x:row>
    <x:row r="8">
      <x:c r="A8" s="14" t="str">
        <x:v>Iberia E-Systems</x:v>
      </x:c>
      <x:c r="B8" s="14" t="str">
        <x:v>Spain</x:v>
      </x:c>
      <x:c r="C8" s="14" t="str">
        <x:v>Regional charging components</x:v>
      </x:c>
      <x:c r="D8" s="14" t="n">
        <x:v>2</x:v>
      </x:c>
      <x:c r="E8" s="14" t="n">
        <x:v>3</x:v>
      </x:c>
      <x:c r="F8" s="14" t="n">
        <x:v>3</x:v>
      </x:c>
      <x:c r="G8" s="14" t="n">
        <x:v>0.84</x:v>
      </x:c>
      <x:c r="H8" s="14" t="n">
        <x:v>6</x:v>
      </x:c>
      <x:c r="I8" s="14" t="str">
        <x:v>Strong regional pricing but limited product breadth.</x:v>
      </x:c>
    </x:row>
    <x:row r="9">
      <x:c r="A9" s="14" t="str">
        <x:v>PolarDrive Electronics</x:v>
      </x:c>
      <x:c r="B9" s="14" t="str">
        <x:v>Norway</x:v>
      </x:c>
      <x:c r="C9" s="14" t="str">
        <x:v>Cold-climate EV systems</x:v>
      </x:c>
      <x:c r="D9" s="14" t="n">
        <x:v>2</x:v>
      </x:c>
      <x:c r="E9" s="14" t="n">
        <x:v>4</x:v>
      </x:c>
      <x:c r="F9" s="14" t="n">
        <x:v>2</x:v>
      </x:c>
      <x:c r="G9" s="14" t="n">
        <x:v>1.14</x:v>
      </x:c>
      <x:c r="H9" s="14" t="n">
        <x:v>5</x:v>
      </x:c>
      <x:c r="I9" s="14" t="str">
        <x:v>Niche specialist with high technical credibility.</x:v>
      </x:c>
    </x:row>
  </x:sheetData>
  <x:conditionalFormatting sqref="D2:F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7297945d934b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22" hidden="0" customWidth="1"/>
    <x:col min="5" max="5" width="18" hidden="0" customWidth="1"/>
    <x:col min="6" max="6" width="22" hidden="0" customWidth="1"/>
    <x:col min="7" max="7" width="24" hidden="0" customWidth="1"/>
    <x:col min="8" max="8" width="30" hidden="0" customWidth="1"/>
    <x:col min="9" max="9" width="55" hidden="0" customWidth="1"/>
  </x:cols>
  <x:sheetData>
    <x:row r="1">
      <x:c r="A1" s="18" t="str">
        <x:v>Customer_Segment</x:v>
      </x:c>
      <x:c r="B1" s="18" t="str">
        <x:v>Estimated_2026_Opportunity_EUR_mn</x:v>
      </x:c>
      <x:c r="C1" s="18" t="str">
        <x:v>Growth_Outlook_1_5</x:v>
      </x:c>
      <x:c r="D1" s="18" t="str">
        <x:v>Sales_Cycle_Ease_1_5</x:v>
      </x:c>
      <x:c r="E1" s="18" t="str">
        <x:v>Strategic_Fit_1_5</x:v>
      </x:c>
      <x:c r="F1" s="18" t="str">
        <x:v>Margin_Potential_1_5</x:v>
      </x:c>
      <x:c r="G1" s="18" t="str">
        <x:v>Competition_Intensity_1_5</x:v>
      </x:c>
      <x:c r="H1" s="18" t="str">
        <x:v>Segment_Attractiveness_Score</x:v>
      </x:c>
      <x:c r="I1" s="18" t="str">
        <x:v>Notes</x:v>
      </x:c>
    </x:row>
    <x:row r="2">
      <x:c r="A2" s="14" t="str">
        <x:v>Vehicle OEMs</x:v>
      </x:c>
      <x:c r="B2" s="14" t="n">
        <x:v>560</x:v>
      </x:c>
      <x:c r="C2" s="14" t="n">
        <x:v>4.5</x:v>
      </x:c>
      <x:c r="D2" s="14" t="n">
        <x:v>2.5</x:v>
      </x:c>
      <x:c r="E2" s="14" t="n">
        <x:v>5</x:v>
      </x:c>
      <x:c r="F2" s="14" t="n">
        <x:v>4.2</x:v>
      </x:c>
      <x:c r="G2" s="14" t="n">
        <x:v>4.8</x:v>
      </x:c>
      <x:c r="H2" s="22" t="n">
        <x:f>0.25*(B2/560*100)+0.20*(C2/5*100)+0.15*(D2/5*100)+0.20*(E2/5*100)+0.10*(F2/5*100)+0.10*((6-G2)/5*100)</x:f>
        <x:v>81.30000000000001</x:v>
      </x:c>
      <x:c r="I2" s="14" t="str">
        <x:v>Large contracts but long qualification cycles.</x:v>
      </x:c>
    </x:row>
    <x:row r="3">
      <x:c r="A3" s="14" t="str">
        <x:v>Tier-1 Automotive Suppliers</x:v>
      </x:c>
      <x:c r="B3" s="14" t="n">
        <x:v>410</x:v>
      </x:c>
      <x:c r="C3" s="14" t="n">
        <x:v>4.2</x:v>
      </x:c>
      <x:c r="D3" s="14" t="n">
        <x:v>3.2</x:v>
      </x:c>
      <x:c r="E3" s="14" t="n">
        <x:v>4.8</x:v>
      </x:c>
      <x:c r="F3" s="14" t="n">
        <x:v>4</x:v>
      </x:c>
      <x:c r="G3" s="14" t="n">
        <x:v>4.2</x:v>
      </x:c>
      <x:c r="H3" s="22" t="n">
        <x:f>0.25*(B3/560*100)+0.20*(C3/5*100)+0.15*(D3/5*100)+0.20*(E3/5*100)+0.10*(F3/5*100)+0.10*((6-G3)/5*100)</x:f>
        <x:v>75.50357142857143</x:v>
      </x:c>
      <x:c r="I3" s="14" t="str">
        <x:v>Strong fit with component-led B2B sales.</x:v>
      </x:c>
    </x:row>
    <x:row r="4">
      <x:c r="A4" s="14" t="str">
        <x:v>Charging Network Operators</x:v>
      </x:c>
      <x:c r="B4" s="14" t="n">
        <x:v>320</x:v>
      </x:c>
      <x:c r="C4" s="14" t="n">
        <x:v>4.6</x:v>
      </x:c>
      <x:c r="D4" s="14" t="n">
        <x:v>3.8</x:v>
      </x:c>
      <x:c r="E4" s="14" t="n">
        <x:v>4.2</x:v>
      </x:c>
      <x:c r="F4" s="14" t="n">
        <x:v>3.8</x:v>
      </x:c>
      <x:c r="G4" s="14" t="n">
        <x:v>3.8</x:v>
      </x:c>
      <x:c r="H4" s="22" t="n">
        <x:f>0.25*(B4/560*100)+0.20*(C4/5*100)+0.15*(D4/5*100)+0.20*(E4/5*100)+0.10*(F4/5*100)+0.10*((6-G4)/5*100)</x:f>
        <x:v>72.88571428571429</x:v>
      </x:c>
      <x:c r="I4" s="14" t="str">
        <x:v>Growing infrastructure demand and faster pilots.</x:v>
      </x:c>
    </x:row>
    <x:row r="5">
      <x:c r="A5" s="14" t="str">
        <x:v>Fleet &amp; Leasing Operators</x:v>
      </x:c>
      <x:c r="B5" s="14" t="n">
        <x:v>210</x:v>
      </x:c>
      <x:c r="C5" s="14" t="n">
        <x:v>4</x:v>
      </x:c>
      <x:c r="D5" s="14" t="n">
        <x:v>4</x:v>
      </x:c>
      <x:c r="E5" s="14" t="n">
        <x:v>3.3</x:v>
      </x:c>
      <x:c r="F5" s="14" t="n">
        <x:v>3.5</x:v>
      </x:c>
      <x:c r="G5" s="14" t="n">
        <x:v>3.2</x:v>
      </x:c>
      <x:c r="H5" s="22" t="n">
        <x:f>0.25*(B5/560*100)+0.20*(C5/5*100)+0.15*(D5/5*100)+0.20*(E5/5*100)+0.10*(F5/5*100)+0.10*((6-G5)/5*100)</x:f>
        <x:v>63.175</x:v>
      </x:c>
      <x:c r="I5" s="14" t="str">
        <x:v>Useful partnership channel but smaller component content.</x:v>
      </x:c>
    </x:row>
    <x:row r="6">
      <x:c r="A6" s="14" t="str">
        <x:v>Energy &amp; Utility Partners</x:v>
      </x:c>
      <x:c r="B6" s="14" t="n">
        <x:v>250</x:v>
      </x:c>
      <x:c r="C6" s="14" t="n">
        <x:v>4.3</x:v>
      </x:c>
      <x:c r="D6" s="14" t="n">
        <x:v>3.5</x:v>
      </x:c>
      <x:c r="E6" s="14" t="n">
        <x:v>3.8</x:v>
      </x:c>
      <x:c r="F6" s="14" t="n">
        <x:v>3.9</x:v>
      </x:c>
      <x:c r="G6" s="14" t="n">
        <x:v>3.5</x:v>
      </x:c>
      <x:c r="H6" s="22" t="n">
        <x:f>0.25*(B6/560*100)+0.20*(C6/5*100)+0.15*(D6/5*100)+0.20*(E6/5*100)+0.10*(F6/5*100)+0.10*((6-G6)/5*100)</x:f>
        <x:v>66.8607142857143</x:v>
      </x:c>
      <x:c r="I6" s="14" t="str">
        <x:v>Relevant for charging-control and energy-integration solutions.</x:v>
      </x:c>
    </x:row>
  </x:sheetData>
  <x:conditionalFormatting sqref="H2:H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a60a81d0ea4a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24" hidden="0" customWidth="1"/>
    <x:col min="5" max="5" width="26" hidden="0" customWidth="1"/>
    <x:col min="6" max="6" width="30" hidden="0" customWidth="1"/>
    <x:col min="7" max="7" width="30" hidden="0" customWidth="1"/>
    <x:col min="8" max="8" width="48" hidden="0" customWidth="1"/>
  </x:cols>
  <x:sheetData>
    <x:row r="1">
      <x:c r="A1" s="18" t="str">
        <x:v>Country</x:v>
      </x:c>
      <x:c r="B1" s="18" t="str">
        <x:v>Scenario</x:v>
      </x:c>
      <x:c r="C1" s="18" t="str">
        <x:v>Addressable_Market_2026_EUR_mn</x:v>
      </x:c>
      <x:c r="D1" s="18" t="str">
        <x:v>Accessible_Share_Percent</x:v>
      </x:c>
      <x:c r="E1" s="18" t="str">
        <x:v>Target_Capture_Rate_Percent</x:v>
      </x:c>
      <x:c r="F1" s="18" t="str">
        <x:v>Year_1_Revenue_Potential_EUR_mn</x:v>
      </x:c>
      <x:c r="G1" s="18" t="str">
        <x:v>Year_3_Revenue_Potential_EUR_mn</x:v>
      </x:c>
      <x:c r="H1" s="18" t="str">
        <x:v>Assumption</x:v>
      </x:c>
    </x:row>
    <x:row r="2">
      <x:c r="A2" s="14" t="str">
        <x:v>United Kingdom</x:v>
      </x:c>
      <x:c r="B2" s="14" t="str">
        <x:v>Conservative</x:v>
      </x:c>
      <x:c r="C2" s="14" t="n">
        <x:v>648.9</x:v>
      </x:c>
      <x:c r="D2" s="14" t="n">
        <x:v>18</x:v>
      </x:c>
      <x:c r="E2" s="14" t="n">
        <x:v>1</x:v>
      </x:c>
      <x:c r="F2" s="26" t="n">
        <x:f>C2*(D2/100)*(E2/100)</x:f>
        <x:v>1.16802</x:v>
      </x:c>
      <x:c r="G2" s="26" t="n">
        <x:f>F2*IF(B2="Conservative",1.45,IF(B2="Base",1.70,2.00))</x:f>
        <x:v>1.693629</x:v>
      </x:c>
      <x:c r="H2" s="14" t="str">
        <x:v>Synthetic planning scenario; not a company forecast.</x:v>
      </x:c>
    </x:row>
    <x:row r="3">
      <x:c r="A3" s="14" t="str">
        <x:v>United Kingdom</x:v>
      </x:c>
      <x:c r="B3" s="14" t="str">
        <x:v>Base</x:v>
      </x:c>
      <x:c r="C3" s="14" t="n">
        <x:v>648.9</x:v>
      </x:c>
      <x:c r="D3" s="14" t="n">
        <x:v>25</x:v>
      </x:c>
      <x:c r="E3" s="14" t="n">
        <x:v>1.8</x:v>
      </x:c>
      <x:c r="F3" s="26" t="n">
        <x:f>C3*(D3/100)*(E3/100)</x:f>
        <x:v>2.9200500000000003</x:v>
      </x:c>
      <x:c r="G3" s="26" t="n">
        <x:f>F3*IF(B3="Conservative",1.45,IF(B3="Base",1.70,2.00))</x:f>
        <x:v>4.964085000000001</x:v>
      </x:c>
      <x:c r="H3" s="14" t="str">
        <x:v>Synthetic planning scenario; not a company forecast.</x:v>
      </x:c>
    </x:row>
    <x:row r="4">
      <x:c r="A4" s="14" t="str">
        <x:v>United Kingdom</x:v>
      </x:c>
      <x:c r="B4" s="14" t="str">
        <x:v>Upside</x:v>
      </x:c>
      <x:c r="C4" s="14" t="n">
        <x:v>648.9</x:v>
      </x:c>
      <x:c r="D4" s="14" t="n">
        <x:v>32</x:v>
      </x:c>
      <x:c r="E4" s="14" t="n">
        <x:v>2.8</x:v>
      </x:c>
      <x:c r="F4" s="26" t="n">
        <x:f>C4*(D4/100)*(E4/100)</x:f>
        <x:v>5.814143999999999</x:v>
      </x:c>
      <x:c r="G4" s="26" t="n">
        <x:f>F4*IF(B4="Conservative",1.45,IF(B4="Base",1.70,2.00))</x:f>
        <x:v>11.628287999999998</x:v>
      </x:c>
      <x:c r="H4" s="14" t="str">
        <x:v>Synthetic planning scenario; not a company forecast.</x:v>
      </x:c>
    </x:row>
    <x:row r="5">
      <x:c r="A5" s="14" t="str">
        <x:v>Germany</x:v>
      </x:c>
      <x:c r="B5" s="14" t="str">
        <x:v>Conservative</x:v>
      </x:c>
      <x:c r="C5" s="14" t="n">
        <x:v>676.7</x:v>
      </x:c>
      <x:c r="D5" s="14" t="n">
        <x:v>18</x:v>
      </x:c>
      <x:c r="E5" s="14" t="n">
        <x:v>1</x:v>
      </x:c>
      <x:c r="F5" s="26" t="n">
        <x:f>C5*(D5/100)*(E5/100)</x:f>
        <x:v>1.21806</x:v>
      </x:c>
      <x:c r="G5" s="26" t="n">
        <x:f>F5*IF(B5="Conservative",1.45,IF(B5="Base",1.70,2.00))</x:f>
        <x:v>1.7661869999999997</x:v>
      </x:c>
      <x:c r="H5" s="14" t="str">
        <x:v>Synthetic planning scenario; not a company forecast.</x:v>
      </x:c>
    </x:row>
    <x:row r="6">
      <x:c r="A6" s="14" t="str">
        <x:v>Germany</x:v>
      </x:c>
      <x:c r="B6" s="14" t="str">
        <x:v>Base</x:v>
      </x:c>
      <x:c r="C6" s="14" t="n">
        <x:v>676.7</x:v>
      </x:c>
      <x:c r="D6" s="14" t="n">
        <x:v>25</x:v>
      </x:c>
      <x:c r="E6" s="14" t="n">
        <x:v>1.8</x:v>
      </x:c>
      <x:c r="F6" s="26" t="n">
        <x:f>C6*(D6/100)*(E6/100)</x:f>
        <x:v>3.0451500000000005</x:v>
      </x:c>
      <x:c r="G6" s="26" t="n">
        <x:f>F6*IF(B6="Conservative",1.45,IF(B6="Base",1.70,2.00))</x:f>
        <x:v>5.176755000000001</x:v>
      </x:c>
      <x:c r="H6" s="14" t="str">
        <x:v>Synthetic planning scenario; not a company forecast.</x:v>
      </x:c>
    </x:row>
    <x:row r="7">
      <x:c r="A7" s="14" t="str">
        <x:v>Germany</x:v>
      </x:c>
      <x:c r="B7" s="14" t="str">
        <x:v>Upside</x:v>
      </x:c>
      <x:c r="C7" s="14" t="n">
        <x:v>676.7</x:v>
      </x:c>
      <x:c r="D7" s="14" t="n">
        <x:v>32</x:v>
      </x:c>
      <x:c r="E7" s="14" t="n">
        <x:v>2.8</x:v>
      </x:c>
      <x:c r="F7" s="26" t="n">
        <x:f>C7*(D7/100)*(E7/100)</x:f>
        <x:v>6.063231999999999</x:v>
      </x:c>
      <x:c r="G7" s="26" t="n">
        <x:f>F7*IF(B7="Conservative",1.45,IF(B7="Base",1.70,2.00))</x:f>
        <x:v>12.126463999999999</x:v>
      </x:c>
      <x:c r="H7" s="14" t="str">
        <x:v>Synthetic planning scenario; not a company forecast.</x:v>
      </x:c>
    </x:row>
    <x:row r="8">
      <x:c r="A8" s="14" t="str">
        <x:v>France</x:v>
      </x:c>
      <x:c r="B8" s="14" t="str">
        <x:v>Conservative</x:v>
      </x:c>
      <x:c r="C8" s="14" t="n">
        <x:v>625.5</x:v>
      </x:c>
      <x:c r="D8" s="14" t="n">
        <x:v>18</x:v>
      </x:c>
      <x:c r="E8" s="14" t="n">
        <x:v>1</x:v>
      </x:c>
      <x:c r="F8" s="26" t="n">
        <x:f>C8*(D8/100)*(E8/100)</x:f>
        <x:v>1.1259</x:v>
      </x:c>
      <x:c r="G8" s="26" t="n">
        <x:f>F8*IF(B8="Conservative",1.45,IF(B8="Base",1.70,2.00))</x:f>
        <x:v>1.6325549999999998</x:v>
      </x:c>
      <x:c r="H8" s="14" t="str">
        <x:v>Synthetic planning scenario; not a company forecast.</x:v>
      </x:c>
    </x:row>
    <x:row r="9">
      <x:c r="A9" s="14" t="str">
        <x:v>France</x:v>
      </x:c>
      <x:c r="B9" s="14" t="str">
        <x:v>Base</x:v>
      </x:c>
      <x:c r="C9" s="14" t="n">
        <x:v>625.5</x:v>
      </x:c>
      <x:c r="D9" s="14" t="n">
        <x:v>25</x:v>
      </x:c>
      <x:c r="E9" s="14" t="n">
        <x:v>1.8</x:v>
      </x:c>
      <x:c r="F9" s="26" t="n">
        <x:f>C9*(D9/100)*(E9/100)</x:f>
        <x:v>2.8147500000000005</x:v>
      </x:c>
      <x:c r="G9" s="26" t="n">
        <x:f>F9*IF(B9="Conservative",1.45,IF(B9="Base",1.70,2.00))</x:f>
        <x:v>4.785075000000001</x:v>
      </x:c>
      <x:c r="H9" s="14" t="str">
        <x:v>Synthetic planning scenario; not a company forecast.</x:v>
      </x:c>
    </x:row>
    <x:row r="10">
      <x:c r="A10" s="14" t="str">
        <x:v>France</x:v>
      </x:c>
      <x:c r="B10" s="14" t="str">
        <x:v>Upside</x:v>
      </x:c>
      <x:c r="C10" s="14" t="n">
        <x:v>625.5</x:v>
      </x:c>
      <x:c r="D10" s="14" t="n">
        <x:v>32</x:v>
      </x:c>
      <x:c r="E10" s="14" t="n">
        <x:v>2.8</x:v>
      </x:c>
      <x:c r="F10" s="26" t="n">
        <x:f>C10*(D10/100)*(E10/100)</x:f>
        <x:v>5.60448</x:v>
      </x:c>
      <x:c r="G10" s="26" t="n">
        <x:f>F10*IF(B10="Conservative",1.45,IF(B10="Base",1.70,2.00))</x:f>
        <x:v>11.20896</x:v>
      </x:c>
      <x:c r="H10" s="14" t="str">
        <x:v>Synthetic planning scenario; not a company forecast.</x:v>
      </x:c>
    </x:row>
    <x:row r="11">
      <x:c r="A11" s="14" t="str">
        <x:v>Netherlands</x:v>
      </x:c>
      <x:c r="B11" s="14" t="str">
        <x:v>Conservative</x:v>
      </x:c>
      <x:c r="C11" s="14" t="n">
        <x:v>313.5</x:v>
      </x:c>
      <x:c r="D11" s="14" t="n">
        <x:v>18</x:v>
      </x:c>
      <x:c r="E11" s="14" t="n">
        <x:v>1</x:v>
      </x:c>
      <x:c r="F11" s="26" t="n">
        <x:f>C11*(D11/100)*(E11/100)</x:f>
        <x:v>0.5643</x:v>
      </x:c>
      <x:c r="G11" s="26" t="n">
        <x:f>F11*IF(B11="Conservative",1.45,IF(B11="Base",1.70,2.00))</x:f>
        <x:v>0.818235</x:v>
      </x:c>
      <x:c r="H11" s="14" t="str">
        <x:v>Synthetic planning scenario; not a company forecast.</x:v>
      </x:c>
    </x:row>
    <x:row r="12">
      <x:c r="A12" s="14" t="str">
        <x:v>Netherlands</x:v>
      </x:c>
      <x:c r="B12" s="14" t="str">
        <x:v>Base</x:v>
      </x:c>
      <x:c r="C12" s="14" t="n">
        <x:v>313.5</x:v>
      </x:c>
      <x:c r="D12" s="14" t="n">
        <x:v>25</x:v>
      </x:c>
      <x:c r="E12" s="14" t="n">
        <x:v>1.8</x:v>
      </x:c>
      <x:c r="F12" s="26" t="n">
        <x:f>C12*(D12/100)*(E12/100)</x:f>
        <x:v>1.4107500000000002</x:v>
      </x:c>
      <x:c r="G12" s="26" t="n">
        <x:f>F12*IF(B12="Conservative",1.45,IF(B12="Base",1.70,2.00))</x:f>
        <x:v>2.3982750000000004</x:v>
      </x:c>
      <x:c r="H12" s="14" t="str">
        <x:v>Synthetic planning scenario; not a company forecast.</x:v>
      </x:c>
    </x:row>
    <x:row r="13">
      <x:c r="A13" s="14" t="str">
        <x:v>Netherlands</x:v>
      </x:c>
      <x:c r="B13" s="14" t="str">
        <x:v>Upside</x:v>
      </x:c>
      <x:c r="C13" s="14" t="n">
        <x:v>313.5</x:v>
      </x:c>
      <x:c r="D13" s="14" t="n">
        <x:v>32</x:v>
      </x:c>
      <x:c r="E13" s="14" t="n">
        <x:v>2.8</x:v>
      </x:c>
      <x:c r="F13" s="26" t="n">
        <x:f>C13*(D13/100)*(E13/100)</x:f>
        <x:v>2.80896</x:v>
      </x:c>
      <x:c r="G13" s="26" t="n">
        <x:f>F13*IF(B13="Conservative",1.45,IF(B13="Base",1.70,2.00))</x:f>
        <x:v>5.61792</x:v>
      </x:c>
      <x:c r="H13" s="14" t="str">
        <x:v>Synthetic planning scenario; not a company forecast.</x:v>
      </x:c>
    </x:row>
  </x:sheetData>
  <x:pageMargins left="0.7" right="0.7" top="0.75" bottom="0.75" header="0.3" footer="0.3"/>
  <x:tableParts count="1">
    <x:tablePart xmlns:r="http://schemas.openxmlformats.org/officeDocument/2006/relationships" r:id="Rd1fcfeb87e4e47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58" hidden="0" customWidth="1"/>
    <x:col min="5" max="5" width="26" hidden="0" customWidth="1"/>
    <x:col min="6" max="6" width="38" hidden="0" customWidth="1"/>
    <x:col min="7" max="7" width="58" hidden="0" customWidth="1"/>
  </x:cols>
  <x:sheetData>
    <x:row r="1">
      <x:c r="A1" s="18" t="str">
        <x:v>Phase</x:v>
      </x:c>
      <x:c r="B1" s="18" t="str">
        <x:v>Timing</x:v>
      </x:c>
      <x:c r="C1" s="18" t="str">
        <x:v>Workstream</x:v>
      </x:c>
      <x:c r="D1" s="18" t="str">
        <x:v>Action</x:v>
      </x:c>
      <x:c r="E1" s="18" t="str">
        <x:v>Primary_Owner</x:v>
      </x:c>
      <x:c r="F1" s="18" t="str">
        <x:v>Success_Metric</x:v>
      </x:c>
      <x:c r="G1" s="18" t="str">
        <x:v>Why_It_Matters</x:v>
      </x:c>
    </x:row>
    <x:row r="2">
      <x:c r="A2" s="14" t="str">
        <x:v>Phase 1 - Validate</x:v>
      </x:c>
      <x:c r="B2" s="14" t="str">
        <x:v>0-3 months</x:v>
      </x:c>
      <x:c r="C2" s="14" t="str">
        <x:v>Market validation</x:v>
      </x:c>
      <x:c r="D2" s="14" t="str">
        <x:v>Interview target customers in the top two markets and validate willingness to switch suppliers.</x:v>
      </x:c>
      <x:c r="E2" s="14" t="str">
        <x:v>Business Development</x:v>
      </x:c>
      <x:c r="F2" s="14" t="str">
        <x:v>15+ structured customer interviews</x:v>
      </x:c>
      <x:c r="G2" s="14" t="str">
        <x:v>Tests whether desk research matches real buying behaviour.</x:v>
      </x:c>
    </x:row>
    <x:row r="3">
      <x:c r="A3" s="14" t="str">
        <x:v>Phase 1 - Validate</x:v>
      </x:c>
      <x:c r="B3" s="14" t="str">
        <x:v>0-3 months</x:v>
      </x:c>
      <x:c r="C3" s="14" t="str">
        <x:v>Competitor intelligence</x:v>
      </x:c>
      <x:c r="D3" s="14" t="str">
        <x:v>Create win/loss and competitor feature tracker for priority accounts.</x:v>
      </x:c>
      <x:c r="E3" s="14" t="str">
        <x:v>Market Intelligence</x:v>
      </x:c>
      <x:c r="F3" s="14" t="str">
        <x:v>Competitor tracker used in weekly commercial review</x:v>
      </x:c>
      <x:c r="G3" s="14" t="str">
        <x:v>Makes competitor analysis ongoing rather than one-time.</x:v>
      </x:c>
    </x:row>
    <x:row r="4">
      <x:c r="A4" s="14" t="str">
        <x:v>Phase 1 - Validate</x:v>
      </x:c>
      <x:c r="B4" s="14" t="str">
        <x:v>0-3 months</x:v>
      </x:c>
      <x:c r="C4" s="14" t="str">
        <x:v>Commercial model</x:v>
      </x:c>
      <x:c r="D4" s="14" t="str">
        <x:v>Confirm target price corridor and minimum contribution margin.</x:v>
      </x:c>
      <x:c r="E4" s="14" t="str">
        <x:v>Finance + Sales</x:v>
      </x:c>
      <x:c r="F4" s="14" t="str">
        <x:v>Approved pricing guardrails</x:v>
      </x:c>
      <x:c r="G4" s="14" t="str">
        <x:v>Prevents growth assumptions from ignoring economics.</x:v>
      </x:c>
    </x:row>
    <x:row r="5">
      <x:c r="A5" s="14" t="str">
        <x:v>Phase 2 - Pilot</x:v>
      </x:c>
      <x:c r="B5" s="14" t="str">
        <x:v>3-6 months</x:v>
      </x:c>
      <x:c r="C5" s="14" t="str">
        <x:v>Customer pilot</x:v>
      </x:c>
      <x:c r="D5" s="14" t="str">
        <x:v>Run two paid or structured pilots with Tier-1 / charging customers.</x:v>
      </x:c>
      <x:c r="E5" s="14" t="str">
        <x:v>Sales + Product</x:v>
      </x:c>
      <x:c r="F5" s="14" t="str">
        <x:v>2 pilot customers</x:v>
      </x:c>
      <x:c r="G5" s="14" t="str">
        <x:v>Creates evidence before broader market entry.</x:v>
      </x:c>
    </x:row>
    <x:row r="6">
      <x:c r="A6" s="14" t="str">
        <x:v>Phase 2 - Pilot</x:v>
      </x:c>
      <x:c r="B6" s="14" t="str">
        <x:v>3-6 months</x:v>
      </x:c>
      <x:c r="C6" s="14" t="str">
        <x:v>Local channel</x:v>
      </x:c>
      <x:c r="D6" s="14" t="str">
        <x:v>Evaluate one local technical sales or distribution partner in the second-priority market.</x:v>
      </x:c>
      <x:c r="E6" s="14" t="str">
        <x:v>Business Development</x:v>
      </x:c>
      <x:c r="F6" s="14" t="str">
        <x:v>1 partner shortlist</x:v>
      </x:c>
      <x:c r="G6" s="14" t="str">
        <x:v>Reduces the cost of testing a new market.</x:v>
      </x:c>
    </x:row>
    <x:row r="7">
      <x:c r="A7" s="14" t="str">
        <x:v>Phase 2 - Pilot</x:v>
      </x:c>
      <x:c r="B7" s="14" t="str">
        <x:v>3-6 months</x:v>
      </x:c>
      <x:c r="C7" s="14" t="str">
        <x:v>Product fit</x:v>
      </x:c>
      <x:c r="D7" s="14" t="str">
        <x:v>Adapt documentation, certification and integration support to top customer requirements.</x:v>
      </x:c>
      <x:c r="E7" s="14" t="str">
        <x:v>Product + Engineering</x:v>
      </x:c>
      <x:c r="F7" s="14" t="str">
        <x:v>Pilot readiness checklist complete</x:v>
      </x:c>
      <x:c r="G7" s="14" t="str">
        <x:v>Turns market interest into implementable offers.</x:v>
      </x:c>
    </x:row>
    <x:row r="8">
      <x:c r="A8" s="14" t="str">
        <x:v>Phase 3 - Scale</x:v>
      </x:c>
      <x:c r="B8" s="14" t="str">
        <x:v>6-12 months</x:v>
      </x:c>
      <x:c r="C8" s="14" t="str">
        <x:v>Key accounts</x:v>
      </x:c>
      <x:c r="D8" s="14" t="str">
        <x:v>Build a named-account plan for top OEM/Tier-1/charging prospects.</x:v>
      </x:c>
      <x:c r="E8" s="14" t="str">
        <x:v>Sales</x:v>
      </x:c>
      <x:c r="F8" s="14" t="str">
        <x:v>20 qualified target accounts</x:v>
      </x:c>
      <x:c r="G8" s="14" t="str">
        <x:v>Focuses commercial effort on specific buyers.</x:v>
      </x:c>
    </x:row>
    <x:row r="9">
      <x:c r="A9" s="14" t="str">
        <x:v>Phase 3 - Scale</x:v>
      </x:c>
      <x:c r="B9" s="14" t="str">
        <x:v>6-12 months</x:v>
      </x:c>
      <x:c r="C9" s="14" t="str">
        <x:v>Market expansion</x:v>
      </x:c>
      <x:c r="D9" s="14" t="str">
        <x:v>Enter the next Tier-1 market only if pilot and pipeline thresholds are met.</x:v>
      </x:c>
      <x:c r="E9" s="14" t="str">
        <x:v>Management</x:v>
      </x:c>
      <x:c r="F9" s="14" t="str">
        <x:v>Go/no-go based on revenue pipeline and pilot conversion</x:v>
      </x:c>
      <x:c r="G9" s="14" t="str">
        <x:v>Avoids expanding into too many markets at once.</x:v>
      </x:c>
    </x:row>
  </x:sheetData>
  <x:pageMargins left="0.7" right="0.7" top="0.75" bottom="0.75" header="0.3" footer="0.3"/>
  <x:tableParts count="1">
    <x:tablePart xmlns:r="http://schemas.openxmlformats.org/officeDocument/2006/relationships" r:id="R4c94ba537af542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6" hidden="0" customWidth="1"/>
    <x:col min="4" max="4" width="30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4" t="str">
        <x:v>European EV Market Intelligence - Executive Overview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8" t="str">
        <x:v>2026 MARKET SNAPSHOT</x:v>
      </x:c>
      <x:c r="B4" s="18"/>
      <x:c r="C4" s="18"/>
      <x:c r="D4" s="18"/>
      <x:c r="E4" s="18"/>
      <x:c r="F4" s="18"/>
      <x:c r="G4" s="18"/>
      <x:c r="H4" s="18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0" t="str">
        <x:v>Countries Analysed</x:v>
      </x:c>
      <x:c r="B6" s="45" t="n">
        <x:v>8</x:v>
      </x:c>
      <x:c r="C6" s="14"/>
      <x:c r="D6" s="10" t="str">
        <x:v>Top Market Score</x:v>
      </x:c>
      <x:c r="E6" s="45" t="n">
        <x:v>57.6</x:v>
      </x:c>
      <x:c r="F6" s="14"/>
      <x:c r="G6" s="14"/>
      <x:c r="H6" s="14"/>
    </x:row>
    <x:row r="7">
      <x:c r="A7" s="10" t="str">
        <x:v>2026 EV Registrations</x:v>
      </x:c>
      <x:c r="B7" s="45" t="n">
        <x:v>3095404</x:v>
      </x:c>
      <x:c r="C7" s="14"/>
      <x:c r="D7" s="10" t="str">
        <x:v>Tier-1 Markets</x:v>
      </x:c>
      <x:c r="E7" s="45" t="n">
        <x:v>4</x:v>
      </x:c>
      <x:c r="F7" s="14"/>
      <x:c r="G7" s="14"/>
      <x:c r="H7" s="14"/>
    </x:row>
    <x:row r="8">
      <x:c r="A8" s="10" t="str">
        <x:v>2026 Addressable Market (EUR mn)</x:v>
      </x:c>
      <x:c r="B8" s="45" t="n">
        <x:v>3170</x:v>
      </x:c>
      <x:c r="C8" s="14"/>
      <x:c r="D8" s="10" t="str">
        <x:v>Competitors Benchmarked</x:v>
      </x:c>
      <x:c r="E8" s="45" t="n">
        <x:v>8</x:v>
      </x:c>
      <x:c r="F8" s="14"/>
      <x:c r="G8" s="14"/>
      <x:c r="H8" s="14"/>
    </x:row>
    <x:row r="9">
      <x:c r="A9" s="10" t="str">
        <x:v>Average EV Share</x:v>
      </x:c>
      <x:c r="B9" s="46" t="n">
        <x:v>0.4435</x:v>
      </x:c>
      <x:c r="C9" s="14"/>
      <x:c r="D9" s="10" t="str">
        <x:v>Customer Segments</x:v>
      </x:c>
      <x:c r="E9" s="45" t="n">
        <x:v>5</x:v>
      </x:c>
      <x:c r="F9" s="14"/>
      <x:c r="G9" s="14"/>
      <x:c r="H9" s="14"/>
    </x:row>
    <x:row r="10">
      <x:c r="A10" s="10" t="str">
        <x:v>Top-Ranked Market</x:v>
      </x:c>
      <x:c r="B10" s="45" t="str">
        <x:v>United Kingdom</x:v>
      </x:c>
      <x:c r="C10" s="14"/>
      <x:c r="D10" s="10" t="str">
        <x:v>Priority Customer Segment</x:v>
      </x:c>
      <x:c r="E10" s="45" t="str">
        <x:v>Vehicle OEMs</x:v>
      </x:c>
      <x:c r="F10" s="14"/>
      <x:c r="G10" s="14"/>
      <x:c r="H10" s="14"/>
    </x:row>
    <x:row r="11">
      <x:c r="A11" s="10" t="str">
        <x:v>Highest Market CAGR</x:v>
      </x:c>
      <x:c r="B11" s="45" t="str">
        <x:v>Spain</x:v>
      </x:c>
      <x:c r="C11" s="14"/>
      <x:c r="D11" s="10" t="str">
        <x:v>Scenario Markets</x:v>
      </x:c>
      <x:c r="E11" s="45" t="n">
        <x:v>4</x:v>
      </x:c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8" t="str">
        <x:v>Country</x:v>
      </x:c>
      <x:c r="B14" s="18" t="str">
        <x:v>Attractiveness Score</x:v>
      </x:c>
      <x:c r="C14" s="18" t="str">
        <x:v>2026 Market EUR mn</x:v>
      </x:c>
      <x:c r="D14" s="14"/>
      <x:c r="E14" s="14"/>
      <x:c r="F14" s="14"/>
      <x:c r="G14" s="14"/>
      <x:c r="H14" s="14"/>
    </x:row>
    <x:row r="15">
      <x:c r="A15" s="14" t="str">
        <x:v>United Kingdom</x:v>
      </x:c>
      <x:c r="B15" s="22" t="n">
        <x:v>57.6</x:v>
      </x:c>
      <x:c r="C15" s="24" t="n">
        <x:v>648.9</x:v>
      </x:c>
      <x:c r="D15" s="14"/>
      <x:c r="E15" s="14"/>
      <x:c r="F15" s="14"/>
      <x:c r="G15" s="14"/>
      <x:c r="H15" s="14"/>
    </x:row>
    <x:row r="16">
      <x:c r="A16" s="14" t="str">
        <x:v>Germany</x:v>
      </x:c>
      <x:c r="B16" s="22" t="n">
        <x:v>56.8</x:v>
      </x:c>
      <x:c r="C16" s="24" t="n">
        <x:v>676.7</x:v>
      </x:c>
      <x:c r="D16" s="14"/>
      <x:c r="E16" s="14"/>
      <x:c r="F16" s="14"/>
      <x:c r="G16" s="14"/>
      <x:c r="H16" s="14"/>
    </x:row>
    <x:row r="17">
      <x:c r="A17" s="14" t="str">
        <x:v>France</x:v>
      </x:c>
      <x:c r="B17" s="22" t="n">
        <x:v>54.1</x:v>
      </x:c>
      <x:c r="C17" s="24" t="n">
        <x:v>625.5</x:v>
      </x:c>
      <x:c r="D17" s="14"/>
      <x:c r="E17" s="14"/>
      <x:c r="F17" s="14"/>
      <x:c r="G17" s="14"/>
      <x:c r="H17" s="14"/>
    </x:row>
    <x:row r="18">
      <x:c r="A18" s="14" t="str">
        <x:v>Netherlands</x:v>
      </x:c>
      <x:c r="B18" s="22" t="n">
        <x:v>51.2</x:v>
      </x:c>
      <x:c r="C18" s="24" t="n">
        <x:v>313.5</x:v>
      </x:c>
      <x:c r="D18" s="14"/>
      <x:c r="E18" s="14"/>
      <x:c r="F18" s="14"/>
      <x:c r="G18" s="14"/>
      <x:c r="H18" s="14"/>
    </x:row>
    <x:row r="19">
      <x:c r="A19" s="14" t="str">
        <x:v>Spain</x:v>
      </x:c>
      <x:c r="B19" s="22" t="n">
        <x:v>36.6</x:v>
      </x:c>
      <x:c r="C19" s="24" t="n">
        <x:v>217</x:v>
      </x:c>
      <x:c r="D19" s="14"/>
      <x:c r="E19" s="14"/>
      <x:c r="F19" s="14"/>
      <x:c r="G19" s="14"/>
      <x:c r="H19" s="14"/>
    </x:row>
    <x:row r="20">
      <x:c r="A20" s="14" t="str">
        <x:v>Italy</x:v>
      </x:c>
      <x:c r="B20" s="22" t="n">
        <x:v>32.8</x:v>
      </x:c>
      <x:c r="C20" s="24" t="n">
        <x:v>301.5</x:v>
      </x:c>
      <x:c r="D20" s="14"/>
      <x:c r="E20" s="14"/>
      <x:c r="F20" s="14"/>
      <x:c r="G20" s="14"/>
      <x:c r="H20" s="14"/>
    </x:row>
    <x:row r="21">
      <x:c r="A21" s="14" t="str">
        <x:v>Sweden</x:v>
      </x:c>
      <x:c r="B21" s="22" t="n">
        <x:v>31</x:v>
      </x:c>
      <x:c r="C21" s="24" t="n">
        <x:v>218</x:v>
      </x:c>
      <x:c r="D21" s="14"/>
      <x:c r="E21" s="14"/>
      <x:c r="F21" s="14"/>
      <x:c r="G21" s="14"/>
      <x:c r="H21" s="14"/>
    </x:row>
    <x:row r="22">
      <x:c r="A22" s="14" t="str">
        <x:v>Norway</x:v>
      </x:c>
      <x:c r="B22" s="22" t="n">
        <x:v>19.4</x:v>
      </x:c>
      <x:c r="C22" s="24" t="n">
        <x:v>168.9</x:v>
      </x:c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8" t="str">
        <x:v>STUDENT TAKEAWAY</x:v>
      </x:c>
      <x:c r="B25" s="18"/>
      <x:c r="C25" s="18"/>
      <x:c r="D25" s="18"/>
      <x:c r="E25" s="18"/>
      <x:c r="F25" s="18"/>
      <x:c r="G25" s="18"/>
      <x:c r="H25" s="18"/>
    </x:row>
    <x:row r="26">
      <x:c r="A26" s="40" t="str">
        <x:v>The biggest lesson for me was that the largest market is not automatically the best expansion market. A country can look attractive because of market size but still be difficult because of competition, maturity or customer access. I therefore used a weighted score and then treated the output as a discussion tool, not as a perfect answer.</x:v>
      </x:c>
      <x:c r="B26" s="40"/>
      <x:c r="C26" s="40"/>
      <x:c r="D26" s="40"/>
      <x:c r="E26" s="40"/>
      <x:c r="F26" s="40"/>
      <x:c r="G26" s="40"/>
      <x:c r="H26" s="40"/>
    </x:row>
    <x:row r="27">
      <x:c r="A27" s="40"/>
      <x:c r="B27" s="40"/>
      <x:c r="C27" s="40"/>
      <x:c r="D27" s="40"/>
      <x:c r="E27" s="40"/>
      <x:c r="F27" s="40"/>
      <x:c r="G27" s="40"/>
      <x:c r="H27" s="40"/>
    </x:row>
    <x:row r="28">
      <x:c r="A28" s="40"/>
      <x:c r="B28" s="40"/>
      <x:c r="C28" s="40"/>
      <x:c r="D28" s="40"/>
      <x:c r="E28" s="40"/>
      <x:c r="F28" s="40"/>
      <x:c r="G28" s="40"/>
      <x:c r="H28" s="40"/>
    </x:row>
    <x:row r="29">
      <x:c r="A29" s="40"/>
      <x:c r="B29" s="40"/>
      <x:c r="C29" s="40"/>
      <x:c r="D29" s="40"/>
      <x:c r="E29" s="40"/>
      <x:c r="F29" s="40"/>
      <x:c r="G29" s="40"/>
      <x:c r="H29" s="40"/>
    </x:row>
    <x:row r="30">
      <x:c r="A30" s="14"/>
      <x:c r="B30" s="14"/>
      <x:c r="C30" s="14"/>
      <x:c r="D30" s="14"/>
      <x:c r="E30" s="14"/>
      <x:c r="F30" s="14"/>
      <x:c r="G30" s="14"/>
      <x:c r="H30" s="14"/>
    </x:row>
  </x:sheetData>
  <x:mergeCells>
    <x:mergeCell ref="A1:H2"/>
    <x:mergeCell ref="A4:H4"/>
    <x:mergeCell ref="A25:H25"/>
    <x:mergeCell ref="A26:H29"/>
  </x:mergeCells>
  <x:pageMargins left="0.7" right="0.7" top="0.75" bottom="0.75" header="0.3" footer="0.3"/>
  <x:drawing xmlns:r="http://schemas.openxmlformats.org/officeDocument/2006/relationships" r:id="R43517f88aca74588"/>
</x:worksheet>
</file>